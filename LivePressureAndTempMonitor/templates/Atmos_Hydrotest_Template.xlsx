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5"/>
    <sheet state="visible" name="Summary" sheetId="2" r:id="rId6"/>
    <sheet state="visible" name="Test Stroke Count" sheetId="3" r:id="rId7"/>
  </sheets>
  <definedNames/>
  <calcPr/>
</workbook>
</file>

<file path=xl/sharedStrings.xml><?xml version="1.0" encoding="utf-8"?>
<sst xmlns="http://schemas.openxmlformats.org/spreadsheetml/2006/main" count="238" uniqueCount="152">
  <si>
    <t>PO Box 663</t>
  </si>
  <si>
    <t>1721 HCR 3106</t>
  </si>
  <si>
    <t>Hillsboro, Texas 76645</t>
  </si>
  <si>
    <t>Office: 254-582-0205</t>
  </si>
  <si>
    <t>BobcatContracting.com</t>
  </si>
  <si>
    <t>Length:</t>
  </si>
  <si>
    <t>ft</t>
  </si>
  <si>
    <t>ID:</t>
  </si>
  <si>
    <t>Hydrotest Log</t>
  </si>
  <si>
    <t>In</t>
  </si>
  <si>
    <t>Location From:</t>
  </si>
  <si>
    <t>Location To:</t>
  </si>
  <si>
    <t>Asset Owner:</t>
  </si>
  <si>
    <t>Volume:</t>
  </si>
  <si>
    <t>US Gallon</t>
  </si>
  <si>
    <t xml:space="preserve">Atmos Energy </t>
  </si>
  <si>
    <t>PO/AFE:</t>
  </si>
  <si>
    <t>Contractor:</t>
  </si>
  <si>
    <t xml:space="preserve">Bobcat Contracting </t>
  </si>
  <si>
    <t>Location:</t>
  </si>
  <si>
    <t>Henrietta, Tx</t>
  </si>
  <si>
    <t>Job Number:</t>
  </si>
  <si>
    <t>Pipeline Data</t>
  </si>
  <si>
    <t>ATM-4422</t>
  </si>
  <si>
    <t>O.D.</t>
  </si>
  <si>
    <t>Date:</t>
  </si>
  <si>
    <t>W.T.</t>
  </si>
  <si>
    <t>Grade</t>
  </si>
  <si>
    <t>Length</t>
  </si>
  <si>
    <t>Buried Pipe</t>
  </si>
  <si>
    <t>Exposed Pipe</t>
  </si>
  <si>
    <t>Remarks</t>
  </si>
  <si>
    <t>4.5"</t>
  </si>
  <si>
    <t>Deadweights:</t>
  </si>
  <si>
    <t>0.237"</t>
  </si>
  <si>
    <t>S/N:</t>
  </si>
  <si>
    <t>x42</t>
  </si>
  <si>
    <t>2039'</t>
  </si>
  <si>
    <t>x</t>
  </si>
  <si>
    <t>5496</t>
  </si>
  <si>
    <t>Mfg:</t>
  </si>
  <si>
    <t>Refinery</t>
  </si>
  <si>
    <t>0.337"</t>
  </si>
  <si>
    <t>x52</t>
  </si>
  <si>
    <t>Calibration Date:</t>
  </si>
  <si>
    <t>6.5'</t>
  </si>
  <si>
    <t>Pressure Test Stroke Count</t>
  </si>
  <si>
    <t>Pressure Recorder:</t>
  </si>
  <si>
    <t>13045</t>
  </si>
  <si>
    <t>Tech-Cal</t>
  </si>
  <si>
    <t>Ambient Temp:</t>
  </si>
  <si>
    <t>10908</t>
  </si>
  <si>
    <t>(L) Mfg:</t>
  </si>
  <si>
    <t>Owner</t>
  </si>
  <si>
    <t>Pipe Temp:</t>
  </si>
  <si>
    <t>This is to certify that the system was tested as outlined below:</t>
  </si>
  <si>
    <t>Atmos Energy</t>
  </si>
  <si>
    <t>10910</t>
  </si>
  <si>
    <t>(H) Mfg:</t>
  </si>
  <si>
    <t>Type of Test:</t>
  </si>
  <si>
    <t>Ground Temp:</t>
  </si>
  <si>
    <t>AFE/Auth</t>
  </si>
  <si>
    <t>10912</t>
  </si>
  <si>
    <t>(M) Mfg:</t>
  </si>
  <si>
    <t xml:space="preserve">8 Hour Hydro Test </t>
  </si>
  <si>
    <t>Digital Gauge:</t>
  </si>
  <si>
    <t>Test Medium:</t>
  </si>
  <si>
    <t>021863</t>
  </si>
  <si>
    <t>Water</t>
  </si>
  <si>
    <t>AMETEK</t>
  </si>
  <si>
    <t>Facility Data</t>
  </si>
  <si>
    <t>Location of Test Unit:</t>
  </si>
  <si>
    <t>Minimum Test Pressure:</t>
  </si>
  <si>
    <t>33.71821895882428, -98.124735682387</t>
  </si>
  <si>
    <t>Maximum Test Pressure:</t>
  </si>
  <si>
    <t>Maximum Achieved</t>
  </si>
  <si>
    <t>Begin GPS:</t>
  </si>
  <si>
    <t>33.7132610, -98.1230730</t>
  </si>
  <si>
    <t>Total Footage:</t>
  </si>
  <si>
    <t>pslg</t>
  </si>
  <si>
    <t>Contractor</t>
  </si>
  <si>
    <t>Minumum Achieved</t>
  </si>
  <si>
    <t>Bobcat Contracting</t>
  </si>
  <si>
    <t>End GPS:</t>
  </si>
  <si>
    <t>33.7180270, -98.1248640</t>
  </si>
  <si>
    <t>Project Name</t>
  </si>
  <si>
    <t>Test Pump Used/Gallons per stroke</t>
  </si>
  <si>
    <t>PDQ - 0.0043</t>
  </si>
  <si>
    <t>WL-248</t>
  </si>
  <si>
    <t>The table below indicates the parameters that the pipeline was tested to:</t>
  </si>
  <si>
    <t>Hydrostatic Test Field Data</t>
  </si>
  <si>
    <t>Testing Parameters (Actual)</t>
  </si>
  <si>
    <t>Time:</t>
  </si>
  <si>
    <t>Pressure</t>
  </si>
  <si>
    <t>Owner's Rep / Insp</t>
  </si>
  <si>
    <t>Ambient</t>
  </si>
  <si>
    <t>Pipe</t>
  </si>
  <si>
    <t>Temperature</t>
  </si>
  <si>
    <t>Ground</t>
  </si>
  <si>
    <t>Comments / Remarks</t>
  </si>
  <si>
    <t>Scott Beatty</t>
  </si>
  <si>
    <t xml:space="preserve">Pressure is at 0 psi </t>
  </si>
  <si>
    <t>Reached 75% begin 30 minute hold</t>
  </si>
  <si>
    <t>Service</t>
  </si>
  <si>
    <t>End 30 minute hold / Begin pressuring up</t>
  </si>
  <si>
    <t>Gas</t>
  </si>
  <si>
    <t>Reached test pressure / Begin 15 minute hold</t>
  </si>
  <si>
    <t>Location</t>
  </si>
  <si>
    <t>Begin 8 hour test</t>
  </si>
  <si>
    <t>Bled down 10 oz 4167-4159</t>
  </si>
  <si>
    <t xml:space="preserve">Bled down 17 oz 4167-4148 </t>
  </si>
  <si>
    <t>Sunny</t>
  </si>
  <si>
    <t>Bled down 19oz 4163-4146</t>
  </si>
  <si>
    <t>Duration of Test, excluding pressurization period</t>
  </si>
  <si>
    <t>Time</t>
  </si>
  <si>
    <t>Date</t>
  </si>
  <si>
    <t>Start Pressure</t>
  </si>
  <si>
    <t>From:</t>
  </si>
  <si>
    <t>Pack Off Pressure</t>
  </si>
  <si>
    <t>Bled down 16 oz 4161-4146</t>
  </si>
  <si>
    <t>Final Pressure</t>
  </si>
  <si>
    <t>To:</t>
  </si>
  <si>
    <t>Bled down 13 oz 4158-4147</t>
  </si>
  <si>
    <t>Partly Cloudy</t>
  </si>
  <si>
    <t>Stabilization Pressure</t>
  </si>
  <si>
    <t>Approval:</t>
  </si>
  <si>
    <t>Signature</t>
  </si>
  <si>
    <t>Bobcat:</t>
  </si>
  <si>
    <t>Client:</t>
  </si>
  <si>
    <t>Inspector:</t>
  </si>
  <si>
    <t>Stroke Count Starts at</t>
  </si>
  <si>
    <t>Target Test Pressure</t>
  </si>
  <si>
    <t>Reading Increments</t>
  </si>
  <si>
    <t>Number of Readings</t>
  </si>
  <si>
    <t>End of test / Begin 15 min hold</t>
  </si>
  <si>
    <t>End of hold / begin depressurizing line</t>
  </si>
  <si>
    <t>Pressure Pump Capacity</t>
  </si>
  <si>
    <t>Calculated Incremental Volume</t>
  </si>
  <si>
    <t>Actual Incremental Volume</t>
  </si>
  <si>
    <t>Pipeline Fill Field Data</t>
  </si>
  <si>
    <t>Stroke</t>
  </si>
  <si>
    <t>Difference</t>
  </si>
  <si>
    <t>Bobcat Rep:</t>
  </si>
  <si>
    <t>Client Rep:</t>
  </si>
  <si>
    <t>Total Volume Pumped</t>
  </si>
  <si>
    <t>Total Pressure Increase</t>
  </si>
  <si>
    <t>Double Deviation? Yes or No</t>
  </si>
  <si>
    <t>NO</t>
  </si>
  <si>
    <t>Actual Incremental Pressure (Total Volume Pumped / Total Pressure Increase X Reading Increments)</t>
  </si>
  <si>
    <t xml:space="preserve">x </t>
  </si>
  <si>
    <t>for Owner</t>
  </si>
  <si>
    <t>For Bobcat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</si>
</sst>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"/>
    <numFmt numFmtId="165" formatCode="h&quot;:&quot;mm&quot; &quot;am/pm"/>
    <numFmt numFmtId="166" formatCode="h:mm am/pm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/>
    <font>
      <u/>
      <sz val="11.0"/>
      <color theme="10"/>
      <name val="Calibri"/>
    </font>
    <font>
      <b/>
      <sz val="11.0"/>
      <color theme="1"/>
      <name val="Calibri"/>
    </font>
    <font>
      <sz val="10.0"/>
      <color theme="1"/>
      <name val="Calibri"/>
    </font>
    <font>
      <color theme="1"/>
      <name val="Calibri"/>
      <scheme val="minor"/>
    </font>
    <font>
      <sz val="8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548DD4"/>
        <bgColor rgb="FF548DD4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</fills>
  <borders count="5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double">
        <color rgb="FF000000"/>
      </left>
      <top style="double">
        <color rgb="FF000000"/>
      </top>
      <bottom/>
    </border>
    <border>
      <right/>
      <top style="double">
        <color rgb="FF000000"/>
      </top>
      <bottom/>
    </border>
    <border>
      <left style="thin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1" numFmtId="0" xfId="0" applyBorder="1" applyFont="1"/>
    <xf borderId="4" fillId="0" fontId="2" numFmtId="0" xfId="0" applyAlignment="1" applyBorder="1" applyFont="1">
      <alignment horizontal="center"/>
    </xf>
    <xf borderId="5" fillId="0" fontId="3" numFmtId="0" xfId="0" applyBorder="1" applyFont="1"/>
    <xf borderId="6" fillId="0" fontId="1" numFmtId="0" xfId="0" applyBorder="1" applyFont="1"/>
    <xf borderId="7" fillId="0" fontId="1" numFmtId="0" xfId="0" applyBorder="1" applyFont="1"/>
    <xf borderId="6" fillId="0" fontId="4" numFmtId="0" xfId="0" applyAlignment="1" applyBorder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9" fillId="2" fontId="1" numFmtId="0" xfId="0" applyAlignment="1" applyBorder="1" applyFill="1" applyFont="1">
      <alignment horizontal="right"/>
    </xf>
    <xf borderId="10" fillId="0" fontId="1" numFmtId="3" xfId="0" applyAlignment="1" applyBorder="1" applyFont="1" applyNumberFormat="1">
      <alignment readingOrder="0"/>
    </xf>
    <xf borderId="3" fillId="0" fontId="1" numFmtId="0" xfId="0" applyBorder="1" applyFont="1"/>
    <xf borderId="9" fillId="2" fontId="1" numFmtId="0" xfId="0" applyBorder="1" applyFill="1" applyFont="1"/>
    <xf borderId="11" fillId="2" fontId="1" numFmtId="0" xfId="0" applyBorder="1" applyFill="1" applyFont="1"/>
    <xf borderId="12" fillId="2" fontId="1" numFmtId="0" xfId="0" applyBorder="1" applyFill="1" applyFont="1"/>
    <xf borderId="13" fillId="2" fontId="1" numFmtId="0" xfId="0" applyAlignment="1" applyBorder="1" applyFill="1" applyFont="1">
      <alignment horizontal="right"/>
    </xf>
    <xf borderId="10" fillId="0" fontId="1" numFmtId="0" xfId="0" applyAlignment="1" applyBorder="1" applyFont="1">
      <alignment readingOrder="0"/>
    </xf>
    <xf borderId="5" fillId="0" fontId="1" numFmtId="0" xfId="0" applyBorder="1" applyFont="1"/>
    <xf borderId="13" fillId="2" fontId="1" numFmtId="0" xfId="0" applyBorder="1" applyFill="1" applyFont="1"/>
    <xf borderId="14" fillId="3" fontId="1" numFmtId="0" xfId="0" applyAlignment="1" applyBorder="1" applyFill="1" applyFont="1">
      <alignment horizontal="center"/>
    </xf>
    <xf borderId="15" fillId="0" fontId="3" numFmtId="0" xfId="0" applyBorder="1" applyFont="1"/>
    <xf borderId="16" fillId="2" fontId="1" numFmtId="0" xfId="0" applyBorder="1" applyFill="1" applyFont="1"/>
    <xf borderId="17" fillId="0" fontId="3" numFmtId="0" xfId="0" applyBorder="1" applyFont="1"/>
    <xf borderId="18" fillId="2" fontId="1" numFmtId="0" xfId="0" applyBorder="1" applyFill="1" applyFont="1"/>
    <xf borderId="19" fillId="2" fontId="1" numFmtId="0" xfId="0" applyAlignment="1" applyBorder="1" applyFill="1" applyFont="1">
      <alignment horizontal="right"/>
    </xf>
    <xf borderId="14" fillId="2" fontId="1" numFmtId="0" xfId="0" applyAlignment="1" applyBorder="1" applyFill="1" applyFont="1">
      <alignment horizontal="left"/>
    </xf>
    <xf borderId="8" fillId="0" fontId="1" numFmtId="0" xfId="0" applyBorder="1" applyFont="1"/>
    <xf borderId="14" fillId="0" fontId="1" numFmtId="0" xfId="0" applyBorder="1" applyFont="1"/>
    <xf borderId="14" fillId="0" fontId="1" numFmtId="0" xfId="0" applyAlignment="1" applyBorder="1" applyFont="1">
      <alignment horizontal="center"/>
    </xf>
    <xf borderId="10" fillId="2" fontId="1" numFmtId="0" xfId="0" applyBorder="1" applyFill="1" applyFont="1"/>
    <xf borderId="0" fillId="0" fontId="1" numFmtId="0" xfId="0" applyFont="1"/>
    <xf borderId="14" fillId="0" fontId="1" numFmtId="0" xfId="0" applyAlignment="1" applyBorder="1" applyFont="1">
      <alignment horizontal="center" readingOrder="0"/>
    </xf>
    <xf borderId="15" fillId="0" fontId="1" numFmtId="49" xfId="0" applyAlignment="1" applyBorder="1" applyFont="1" applyNumberFormat="1">
      <alignment horizontal="center"/>
    </xf>
    <xf borderId="17" fillId="0" fontId="1" numFmtId="0" xfId="0" applyBorder="1" applyFont="1"/>
    <xf borderId="15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0" fillId="2" fontId="1" numFmtId="0" xfId="0" applyAlignment="1" applyBorder="1" applyFill="1" applyFont="1">
      <alignment horizontal="center" shrinkToFit="1" wrapText="0"/>
    </xf>
    <xf borderId="14" fillId="0" fontId="1" numFmtId="14" xfId="0" applyAlignment="1" applyBorder="1" applyFont="1" applyNumberFormat="1">
      <alignment horizontal="center" readingOrder="0"/>
    </xf>
    <xf borderId="14" fillId="2" fontId="1" numFmtId="0" xfId="0" applyAlignment="1" applyBorder="1" applyFill="1" applyFont="1">
      <alignment horizontal="center"/>
    </xf>
    <xf borderId="10" fillId="0" fontId="1" numFmtId="0" xfId="0" applyAlignment="1" applyBorder="1" applyFont="1">
      <alignment horizontal="center" readingOrder="0"/>
    </xf>
    <xf borderId="10" fillId="0" fontId="1" numFmtId="164" xfId="0" applyAlignment="1" applyBorder="1" applyFont="1" applyNumberFormat="1">
      <alignment horizontal="center" readingOrder="0"/>
    </xf>
    <xf borderId="10" fillId="2" fontId="1" numFmtId="0" xfId="0" applyAlignment="1" applyBorder="1" applyFill="1" applyFont="1">
      <alignment horizontal="center"/>
    </xf>
    <xf borderId="10" fillId="0" fontId="1" numFmtId="49" xfId="0" applyAlignment="1" applyBorder="1" applyFont="1" applyNumberFormat="1">
      <alignment readingOrder="0" vertical="bottom"/>
    </xf>
    <xf borderId="10" fillId="0" fontId="1" numFmtId="0" xfId="0" applyBorder="1" applyFont="1"/>
    <xf borderId="10" fillId="0" fontId="1" numFmtId="14" xfId="0" applyAlignment="1" applyBorder="1" applyFont="1" applyNumberFormat="1">
      <alignment horizontal="right" readingOrder="0" vertical="bottom"/>
    </xf>
    <xf borderId="14" fillId="2" fontId="5" numFmtId="0" xfId="0" applyAlignment="1" applyBorder="1" applyFill="1" applyFont="1">
      <alignment horizontal="center"/>
    </xf>
    <xf borderId="10" fillId="0" fontId="1" numFmtId="9" xfId="0" applyBorder="1" applyFont="1" applyNumberFormat="1"/>
    <xf borderId="10" fillId="0" fontId="1" numFmtId="49" xfId="0" applyAlignment="1" applyBorder="1" applyFont="1" applyNumberFormat="1">
      <alignment vertical="bottom"/>
    </xf>
    <xf borderId="10" fillId="0" fontId="1" numFmtId="164" xfId="0" applyAlignment="1" applyBorder="1" applyFont="1" applyNumberFormat="1">
      <alignment horizontal="center"/>
    </xf>
    <xf borderId="20" fillId="2" fontId="6" numFmtId="0" xfId="0" applyAlignment="1" applyBorder="1" applyFill="1" applyFont="1">
      <alignment horizontal="left"/>
    </xf>
    <xf borderId="21" fillId="0" fontId="3" numFmtId="0" xfId="0" applyBorder="1" applyFont="1"/>
    <xf borderId="0" fillId="0" fontId="7" numFmtId="0" xfId="0" applyFont="1"/>
    <xf borderId="14" fillId="0" fontId="6" numFmtId="0" xfId="0" applyAlignment="1" applyBorder="1" applyFont="1">
      <alignment readingOrder="0"/>
    </xf>
    <xf borderId="14" fillId="2" fontId="1" numFmtId="0" xfId="0" applyAlignment="1" applyBorder="1" applyFill="1" applyFont="1">
      <alignment horizontal="right"/>
    </xf>
    <xf borderId="22" fillId="2" fontId="6" numFmtId="0" xfId="0" applyAlignment="1" applyBorder="1" applyFill="1" applyFont="1">
      <alignment horizontal="left"/>
    </xf>
    <xf borderId="7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 readingOrder="0"/>
    </xf>
    <xf borderId="23" fillId="2" fontId="1" numFmtId="0" xfId="0" applyAlignment="1" applyBorder="1" applyFill="1" applyFont="1">
      <alignment horizontal="right" shrinkToFit="1" wrapText="0"/>
    </xf>
    <xf borderId="24" fillId="0" fontId="3" numFmtId="0" xfId="0" applyBorder="1" applyFont="1"/>
    <xf borderId="7" fillId="0" fontId="1" numFmtId="0" xfId="0" applyAlignment="1" applyBorder="1" applyFont="1">
      <alignment horizontal="center" readingOrder="0"/>
    </xf>
    <xf borderId="14" fillId="2" fontId="1" numFmtId="0" xfId="0" applyAlignment="1" applyBorder="1" applyFill="1" applyFont="1">
      <alignment horizontal="right" shrinkToFit="1" wrapText="0"/>
    </xf>
    <xf borderId="14" fillId="0" fontId="1" numFmtId="49" xfId="0" applyAlignment="1" applyBorder="1" applyFont="1" applyNumberFormat="1">
      <alignment horizontal="center" readingOrder="0"/>
    </xf>
    <xf borderId="14" fillId="0" fontId="6" numFmtId="0" xfId="0" applyAlignment="1" applyBorder="1" applyFont="1">
      <alignment horizontal="left" readingOrder="0"/>
    </xf>
    <xf borderId="14" fillId="2" fontId="1" numFmtId="0" xfId="0" applyBorder="1" applyFill="1" applyFont="1"/>
    <xf borderId="14" fillId="0" fontId="1" numFmtId="0" xfId="0" applyAlignment="1" applyBorder="1" applyFont="1">
      <alignment horizontal="right" vertical="bottom"/>
    </xf>
    <xf borderId="14" fillId="0" fontId="1" numFmtId="3" xfId="0" applyAlignment="1" applyBorder="1" applyFont="1" applyNumberFormat="1">
      <alignment horizontal="center" readingOrder="0"/>
    </xf>
    <xf borderId="17" fillId="0" fontId="1" numFmtId="0" xfId="0" applyAlignment="1" applyBorder="1" applyFont="1">
      <alignment vertical="bottom"/>
    </xf>
    <xf borderId="25" fillId="2" fontId="6" numFmtId="0" xfId="0" applyAlignment="1" applyBorder="1" applyFill="1" applyFont="1">
      <alignment horizontal="left"/>
    </xf>
    <xf borderId="26" fillId="0" fontId="3" numFmtId="0" xfId="0" applyBorder="1" applyFont="1"/>
    <xf borderId="14" fillId="2" fontId="1" numFmtId="0" xfId="0" applyAlignment="1" applyBorder="1" applyFill="1" applyFont="1">
      <alignment horizontal="right" vertical="bottom"/>
    </xf>
    <xf borderId="27" fillId="2" fontId="6" numFmtId="0" xfId="0" applyAlignment="1" applyBorder="1" applyFill="1" applyFont="1">
      <alignment horizontal="left" shrinkToFit="0" wrapText="1"/>
    </xf>
    <xf borderId="1" fillId="0" fontId="6" numFmtId="0" xfId="0" applyAlignment="1" applyBorder="1" applyFont="1">
      <alignment horizontal="left" readingOrder="0" vertical="center"/>
    </xf>
    <xf borderId="10" fillId="0" fontId="1" numFmtId="165" xfId="0" applyAlignment="1" applyBorder="1" applyFont="1" applyNumberFormat="1">
      <alignment readingOrder="0"/>
    </xf>
    <xf borderId="28" fillId="0" fontId="3" numFmtId="0" xfId="0" applyBorder="1" applyFont="1"/>
    <xf borderId="29" fillId="2" fontId="1" numFmtId="0" xfId="0" applyAlignment="1" applyBorder="1" applyFill="1" applyFont="1">
      <alignment horizontal="right" shrinkToFit="1" wrapText="0"/>
    </xf>
    <xf borderId="6" fillId="0" fontId="3" numFmtId="0" xfId="0" applyBorder="1" applyFont="1"/>
    <xf borderId="30" fillId="0" fontId="3" numFmtId="0" xfId="0" applyBorder="1" applyFont="1"/>
    <xf borderId="10" fillId="0" fontId="1" numFmtId="166" xfId="0" applyAlignment="1" applyBorder="1" applyFont="1" applyNumberFormat="1">
      <alignment readingOrder="0"/>
    </xf>
    <xf borderId="10" fillId="4" fontId="1" numFmtId="0" xfId="0" applyAlignment="1" applyBorder="1" applyFill="1" applyFont="1">
      <alignment horizontal="right" vertical="bottom"/>
    </xf>
    <xf borderId="14" fillId="0" fontId="1" numFmtId="49" xfId="0" applyAlignment="1" applyBorder="1" applyFont="1" applyNumberFormat="1">
      <alignment horizontal="center"/>
    </xf>
    <xf borderId="14" fillId="2" fontId="6" numFmtId="0" xfId="0" applyAlignment="1" applyBorder="1" applyFill="1" applyFont="1">
      <alignment horizontal="center"/>
    </xf>
    <xf borderId="31" fillId="2" fontId="1" numFmtId="0" xfId="0" applyBorder="1" applyFill="1" applyFont="1"/>
    <xf borderId="31" fillId="2" fontId="1" numFmtId="0" xfId="0" applyAlignment="1" applyBorder="1" applyFill="1" applyFont="1">
      <alignment shrinkToFit="1" wrapText="0"/>
    </xf>
    <xf borderId="0" fillId="0" fontId="1" numFmtId="0" xfId="0" applyAlignment="1" applyFont="1">
      <alignment horizontal="right"/>
    </xf>
    <xf borderId="0" fillId="0" fontId="7" numFmtId="0" xfId="0" applyAlignment="1" applyFont="1">
      <alignment readingOrder="0"/>
    </xf>
    <xf borderId="14" fillId="2" fontId="1" numFmtId="0" xfId="0" applyAlignment="1" applyBorder="1" applyFill="1" applyFont="1">
      <alignment horizontal="left" shrinkToFit="1" wrapText="0"/>
    </xf>
    <xf borderId="10" fillId="0" fontId="1" numFmtId="165" xfId="0" applyAlignment="1" applyBorder="1" applyFont="1" applyNumberFormat="1">
      <alignment horizontal="right" vertical="bottom"/>
    </xf>
    <xf borderId="14" fillId="0" fontId="1" numFmtId="0" xfId="0" applyAlignment="1" applyBorder="1" applyFont="1">
      <alignment horizontal="center" vertical="bottom"/>
    </xf>
    <xf borderId="10" fillId="0" fontId="1" numFmtId="14" xfId="0" applyAlignment="1" applyBorder="1" applyFont="1" applyNumberFormat="1">
      <alignment horizontal="right" vertical="bottom"/>
    </xf>
    <xf borderId="10" fillId="0" fontId="1" numFmtId="0" xfId="0" applyAlignment="1" applyBorder="1" applyFont="1">
      <alignment horizontal="right" vertical="bottom"/>
    </xf>
    <xf borderId="10" fillId="2" fontId="1" numFmtId="0" xfId="0" applyAlignment="1" applyBorder="1" applyFill="1" applyFont="1">
      <alignment vertical="bottom"/>
    </xf>
    <xf borderId="14" fillId="0" fontId="1" numFmtId="164" xfId="0" applyAlignment="1" applyBorder="1" applyFont="1" applyNumberFormat="1">
      <alignment horizontal="center"/>
    </xf>
    <xf borderId="32" fillId="2" fontId="1" numFmtId="0" xfId="0" applyAlignment="1" applyBorder="1" applyFill="1" applyFont="1">
      <alignment horizontal="right"/>
    </xf>
    <xf borderId="33" fillId="0" fontId="3" numFmtId="0" xfId="0" applyBorder="1" applyFont="1"/>
    <xf borderId="34" fillId="0" fontId="1" numFmtId="0" xfId="0" applyBorder="1" applyFont="1"/>
    <xf borderId="35" fillId="0" fontId="1" numFmtId="0" xfId="0" applyBorder="1" applyFont="1"/>
    <xf borderId="36" fillId="0" fontId="1" numFmtId="0" xfId="0" applyBorder="1" applyFont="1"/>
    <xf borderId="37" fillId="2" fontId="1" numFmtId="0" xfId="0" applyAlignment="1" applyBorder="1" applyFill="1" applyFont="1">
      <alignment horizontal="right"/>
    </xf>
    <xf borderId="38" fillId="0" fontId="1" numFmtId="0" xfId="0" applyBorder="1" applyFont="1"/>
    <xf borderId="39" fillId="0" fontId="1" numFmtId="0" xfId="0" applyBorder="1" applyFont="1"/>
    <xf borderId="40" fillId="0" fontId="1" numFmtId="0" xfId="0" applyBorder="1" applyFont="1"/>
    <xf borderId="41" fillId="0" fontId="1" numFmtId="0" xfId="0" applyBorder="1" applyFont="1"/>
    <xf borderId="10" fillId="0" fontId="1" numFmtId="0" xfId="0" applyAlignment="1" applyBorder="1" applyFont="1">
      <alignment horizontal="right" readingOrder="0"/>
    </xf>
    <xf borderId="6" fillId="0" fontId="1" numFmtId="49" xfId="0" applyAlignment="1" applyBorder="1" applyFont="1" applyNumberFormat="1">
      <alignment horizontal="center"/>
    </xf>
    <xf borderId="42" fillId="5" fontId="1" numFmtId="0" xfId="0" applyBorder="1" applyFill="1" applyFont="1"/>
    <xf borderId="10" fillId="0" fontId="1" numFmtId="165" xfId="0" applyBorder="1" applyFont="1" applyNumberFormat="1"/>
    <xf borderId="15" fillId="0" fontId="1" numFmtId="0" xfId="0" applyBorder="1" applyFont="1"/>
    <xf borderId="14" fillId="0" fontId="1" numFmtId="0" xfId="0" applyAlignment="1" applyBorder="1" applyFont="1">
      <alignment horizontal="left"/>
    </xf>
    <xf borderId="43" fillId="2" fontId="1" numFmtId="0" xfId="0" applyAlignment="1" applyBorder="1" applyFill="1" applyFont="1">
      <alignment horizontal="center"/>
    </xf>
    <xf borderId="44" fillId="0" fontId="3" numFmtId="0" xfId="0" applyBorder="1" applyFont="1"/>
    <xf borderId="45" fillId="0" fontId="3" numFmtId="0" xfId="0" applyBorder="1" applyFont="1"/>
    <xf borderId="46" fillId="2" fontId="1" numFmtId="0" xfId="0" applyAlignment="1" applyBorder="1" applyFill="1" applyFont="1">
      <alignment horizontal="center"/>
    </xf>
    <xf borderId="47" fillId="2" fontId="1" numFmtId="0" xfId="0" applyAlignment="1" applyBorder="1" applyFill="1" applyFont="1">
      <alignment horizontal="center"/>
    </xf>
    <xf borderId="48" fillId="2" fontId="6" numFmtId="0" xfId="0" applyAlignment="1" applyBorder="1" applyFill="1" applyFont="1">
      <alignment horizontal="center"/>
    </xf>
    <xf borderId="49" fillId="0" fontId="1" numFmtId="0" xfId="0" applyAlignment="1" applyBorder="1" applyFont="1">
      <alignment readingOrder="0"/>
    </xf>
    <xf borderId="28" fillId="0" fontId="1" numFmtId="0" xfId="0" applyAlignment="1" applyBorder="1" applyFont="1">
      <alignment readingOrder="0"/>
    </xf>
    <xf borderId="50" fillId="0" fontId="1" numFmtId="0" xfId="0" applyAlignment="1" applyBorder="1" applyFont="1">
      <alignment readingOrder="0"/>
    </xf>
    <xf borderId="49" fillId="0" fontId="1" numFmtId="0" xfId="0" applyAlignment="1" applyBorder="1" applyFont="1">
      <alignment horizontal="right" vertical="bottom"/>
    </xf>
    <xf borderId="14" fillId="0" fontId="8" numFmtId="0" xfId="0" applyAlignment="1" applyBorder="1" applyFont="1">
      <alignment horizontal="left"/>
    </xf>
    <xf borderId="10" fillId="3" fontId="1" numFmtId="0" xfId="0" applyBorder="1" applyFill="1" applyFont="1"/>
    <xf borderId="14" fillId="0" fontId="1" numFmtId="14" xfId="0" applyAlignment="1" applyBorder="1" applyFont="1" applyNumberFormat="1">
      <alignment horizontal="center"/>
    </xf>
    <xf borderId="50" fillId="0" fontId="1" numFmtId="0" xfId="0" applyBorder="1" applyFont="1"/>
    <xf borderId="49" fillId="0" fontId="1" numFmtId="0" xfId="0" applyAlignment="1" applyBorder="1" applyFont="1">
      <alignment horizontal="right" vertical="bottom"/>
    </xf>
    <xf borderId="49" fillId="0" fontId="1" numFmtId="0" xfId="0" applyBorder="1" applyFont="1"/>
    <xf borderId="28" fillId="0" fontId="1" numFmtId="0" xfId="0" applyBorder="1" applyFont="1"/>
    <xf borderId="51" fillId="0" fontId="1" numFmtId="0" xfId="0" applyAlignment="1" applyBorder="1" applyFont="1">
      <alignment readingOrder="0"/>
    </xf>
    <xf borderId="52" fillId="0" fontId="1" numFmtId="0" xfId="0" applyBorder="1" applyFont="1"/>
    <xf borderId="53" fillId="0" fontId="1" numFmtId="0" xfId="0" applyAlignment="1" applyBorder="1" applyFont="1">
      <alignment readingOrder="0"/>
    </xf>
    <xf borderId="54" fillId="0" fontId="1" numFmtId="0" xfId="0" applyBorder="1" applyFont="1"/>
    <xf borderId="14" fillId="2" fontId="1" numFmtId="0" xfId="0" applyAlignment="1" applyBorder="1" applyFill="1" applyFont="1">
      <alignment horizontal="center" shrinkToFit="1" wrapText="0"/>
    </xf>
    <xf borderId="55" fillId="0" fontId="3" numFmtId="0" xfId="0" applyBorder="1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28575</xdr:rowOff>
    </xdr:from>
    <xdr:ext cx="2876550" cy="638175"/>
    <xdr:pic>
      <xdr:nvPicPr>
        <xdr:cNvPr descr="Bobcat Contracting Logo.jp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28575</xdr:rowOff>
    </xdr:from>
    <xdr:ext cx="2838450" cy="638175"/>
    <xdr:pic>
      <xdr:nvPicPr>
        <xdr:cNvPr descr="Bobcat Contracting Logo.jp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161925</xdr:rowOff>
    </xdr:from>
    <xdr:ext cx="342900" cy="257175"/>
    <xdr:sp>
      <xdr:nvSpPr>
        <xdr:cNvPr id="3" name="Shape 3"/>
        <xdr:cNvSpPr txBox="1"/>
      </xdr:nvSpPr>
      <xdr:spPr>
        <a:xfrm>
          <a:off x="5177364" y="3655575"/>
          <a:ext cx="337272" cy="248851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+/-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0</xdr:rowOff>
    </xdr:from>
    <xdr:ext cx="342900" cy="257175"/>
    <xdr:sp>
      <xdr:nvSpPr>
        <xdr:cNvPr id="4" name="Shape 4"/>
        <xdr:cNvSpPr txBox="1"/>
      </xdr:nvSpPr>
      <xdr:spPr>
        <a:xfrm>
          <a:off x="5177364" y="3655575"/>
          <a:ext cx="337272" cy="248851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+/-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</xdr:row>
      <xdr:rowOff>0</xdr:rowOff>
    </xdr:from>
    <xdr:ext cx="342900" cy="257175"/>
    <xdr:sp>
      <xdr:nvSpPr>
        <xdr:cNvPr id="5" name="Shape 5"/>
        <xdr:cNvSpPr txBox="1"/>
      </xdr:nvSpPr>
      <xdr:spPr>
        <a:xfrm>
          <a:off x="5177364" y="3655575"/>
          <a:ext cx="337272" cy="248851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+/-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</xdr:row>
      <xdr:rowOff>0</xdr:rowOff>
    </xdr:from>
    <xdr:ext cx="342900" cy="257175"/>
    <xdr:sp>
      <xdr:nvSpPr>
        <xdr:cNvPr id="6" name="Shape 6"/>
        <xdr:cNvSpPr txBox="1"/>
      </xdr:nvSpPr>
      <xdr:spPr>
        <a:xfrm>
          <a:off x="5177364" y="3655575"/>
          <a:ext cx="337272" cy="248851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+/-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342900" cy="257175"/>
    <xdr:sp>
      <xdr:nvSpPr>
        <xdr:cNvPr id="7" name="Shape 7"/>
        <xdr:cNvSpPr txBox="1"/>
      </xdr:nvSpPr>
      <xdr:spPr>
        <a:xfrm>
          <a:off x="5177364" y="3655575"/>
          <a:ext cx="337272" cy="248851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+/-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</xdr:row>
      <xdr:rowOff>0</xdr:rowOff>
    </xdr:from>
    <xdr:ext cx="342900" cy="257175"/>
    <xdr:sp>
      <xdr:nvSpPr>
        <xdr:cNvPr id="8" name="Shape 8"/>
        <xdr:cNvSpPr txBox="1"/>
      </xdr:nvSpPr>
      <xdr:spPr>
        <a:xfrm>
          <a:off x="5177364" y="3655575"/>
          <a:ext cx="337272" cy="248851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+/-</a:t>
          </a:r>
          <a:endParaRPr sz="1400"/>
        </a:p>
      </xdr:txBody>
    </xdr:sp>
    <xdr:clientData fLocksWithSheet="0"/>
  </xdr:oneCellAnchor>
  <xdr:oneCellAnchor>
    <xdr:from>
      <xdr:col>2</xdr:col>
      <xdr:colOff>333375</xdr:colOff>
      <xdr:row>8</xdr:row>
      <xdr:rowOff>142875</xdr:rowOff>
    </xdr:from>
    <xdr:ext cx="276225" cy="266700"/>
    <xdr:sp>
      <xdr:nvSpPr>
        <xdr:cNvPr id="9" name="Shape 9"/>
        <xdr:cNvSpPr txBox="1"/>
      </xdr:nvSpPr>
      <xdr:spPr>
        <a:xfrm>
          <a:off x="5208527" y="3647720"/>
          <a:ext cx="274947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ft</a:t>
          </a:r>
          <a:endParaRPr sz="1400"/>
        </a:p>
      </xdr:txBody>
    </xdr:sp>
    <xdr:clientData fLocksWithSheet="0"/>
  </xdr:oneCellAnchor>
  <xdr:oneCellAnchor>
    <xdr:from>
      <xdr:col>2</xdr:col>
      <xdr:colOff>333375</xdr:colOff>
      <xdr:row>10</xdr:row>
      <xdr:rowOff>0</xdr:rowOff>
    </xdr:from>
    <xdr:ext cx="276225" cy="266700"/>
    <xdr:sp>
      <xdr:nvSpPr>
        <xdr:cNvPr id="10" name="Shape 10"/>
        <xdr:cNvSpPr txBox="1"/>
      </xdr:nvSpPr>
      <xdr:spPr>
        <a:xfrm>
          <a:off x="5208527" y="3647720"/>
          <a:ext cx="274947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ft</a:t>
          </a:r>
          <a:endParaRPr sz="1400"/>
        </a:p>
      </xdr:txBody>
    </xdr:sp>
    <xdr:clientData fLocksWithSheet="0"/>
  </xdr:oneCellAnchor>
  <xdr:oneCellAnchor>
    <xdr:from>
      <xdr:col>2</xdr:col>
      <xdr:colOff>333375</xdr:colOff>
      <xdr:row>11</xdr:row>
      <xdr:rowOff>0</xdr:rowOff>
    </xdr:from>
    <xdr:ext cx="276225" cy="266700"/>
    <xdr:sp>
      <xdr:nvSpPr>
        <xdr:cNvPr id="11" name="Shape 11"/>
        <xdr:cNvSpPr txBox="1"/>
      </xdr:nvSpPr>
      <xdr:spPr>
        <a:xfrm>
          <a:off x="5208527" y="3647720"/>
          <a:ext cx="274947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ft</a:t>
          </a:r>
          <a:endParaRPr sz="1400"/>
        </a:p>
      </xdr:txBody>
    </xdr:sp>
    <xdr:clientData fLocksWithSheet="0"/>
  </xdr:oneCellAnchor>
  <xdr:oneCellAnchor>
    <xdr:from>
      <xdr:col>2</xdr:col>
      <xdr:colOff>342900</xdr:colOff>
      <xdr:row>12</xdr:row>
      <xdr:rowOff>0</xdr:rowOff>
    </xdr:from>
    <xdr:ext cx="276225" cy="266700"/>
    <xdr:sp>
      <xdr:nvSpPr>
        <xdr:cNvPr id="12" name="Shape 12"/>
        <xdr:cNvSpPr txBox="1"/>
      </xdr:nvSpPr>
      <xdr:spPr>
        <a:xfrm>
          <a:off x="5208527" y="3647720"/>
          <a:ext cx="274947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ft</a:t>
          </a:r>
          <a:endParaRPr sz="1400"/>
        </a:p>
      </xdr:txBody>
    </xdr:sp>
    <xdr:clientData fLocksWithSheet="0"/>
  </xdr:oneCellAnchor>
  <xdr:oneCellAnchor>
    <xdr:from>
      <xdr:col>2</xdr:col>
      <xdr:colOff>333375</xdr:colOff>
      <xdr:row>13</xdr:row>
      <xdr:rowOff>0</xdr:rowOff>
    </xdr:from>
    <xdr:ext cx="276225" cy="266700"/>
    <xdr:sp>
      <xdr:nvSpPr>
        <xdr:cNvPr id="13" name="Shape 13"/>
        <xdr:cNvSpPr txBox="1"/>
      </xdr:nvSpPr>
      <xdr:spPr>
        <a:xfrm>
          <a:off x="5208527" y="3647720"/>
          <a:ext cx="274947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ft</a:t>
          </a:r>
          <a:endParaRPr sz="1400"/>
        </a:p>
      </xdr:txBody>
    </xdr:sp>
    <xdr:clientData fLocksWithSheet="0"/>
  </xdr:oneCellAnchor>
  <xdr:oneCellAnchor>
    <xdr:from>
      <xdr:col>2</xdr:col>
      <xdr:colOff>333375</xdr:colOff>
      <xdr:row>13</xdr:row>
      <xdr:rowOff>152400</xdr:rowOff>
    </xdr:from>
    <xdr:ext cx="276225" cy="266700"/>
    <xdr:sp>
      <xdr:nvSpPr>
        <xdr:cNvPr id="14" name="Shape 14"/>
        <xdr:cNvSpPr txBox="1"/>
      </xdr:nvSpPr>
      <xdr:spPr>
        <a:xfrm>
          <a:off x="5208527" y="3647720"/>
          <a:ext cx="274947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ft</a:t>
          </a:r>
          <a:endParaRPr sz="1400"/>
        </a:p>
      </xdr:txBody>
    </xdr:sp>
    <xdr:clientData fLocksWithSheet="0"/>
  </xdr:oneCellAnchor>
  <xdr:oneCellAnchor>
    <xdr:from>
      <xdr:col>4</xdr:col>
      <xdr:colOff>266700</xdr:colOff>
      <xdr:row>9</xdr:row>
      <xdr:rowOff>0</xdr:rowOff>
    </xdr:from>
    <xdr:ext cx="428625" cy="266700"/>
    <xdr:sp>
      <xdr:nvSpPr>
        <xdr:cNvPr id="15" name="Shape 15"/>
        <xdr:cNvSpPr txBox="1"/>
      </xdr:nvSpPr>
      <xdr:spPr>
        <a:xfrm>
          <a:off x="5135269" y="3647720"/>
          <a:ext cx="421462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"OD</a:t>
          </a:r>
          <a:endParaRPr sz="1400"/>
        </a:p>
      </xdr:txBody>
    </xdr:sp>
    <xdr:clientData fLocksWithSheet="0"/>
  </xdr:oneCellAnchor>
  <xdr:oneCellAnchor>
    <xdr:from>
      <xdr:col>4</xdr:col>
      <xdr:colOff>257175</xdr:colOff>
      <xdr:row>10</xdr:row>
      <xdr:rowOff>0</xdr:rowOff>
    </xdr:from>
    <xdr:ext cx="428625" cy="266700"/>
    <xdr:sp>
      <xdr:nvSpPr>
        <xdr:cNvPr id="16" name="Shape 16"/>
        <xdr:cNvSpPr txBox="1"/>
      </xdr:nvSpPr>
      <xdr:spPr>
        <a:xfrm>
          <a:off x="5135269" y="3647720"/>
          <a:ext cx="421462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"OD</a:t>
          </a:r>
          <a:endParaRPr sz="1400"/>
        </a:p>
      </xdr:txBody>
    </xdr:sp>
    <xdr:clientData fLocksWithSheet="0"/>
  </xdr:oneCellAnchor>
  <xdr:oneCellAnchor>
    <xdr:from>
      <xdr:col>4</xdr:col>
      <xdr:colOff>257175</xdr:colOff>
      <xdr:row>11</xdr:row>
      <xdr:rowOff>0</xdr:rowOff>
    </xdr:from>
    <xdr:ext cx="428625" cy="266700"/>
    <xdr:sp>
      <xdr:nvSpPr>
        <xdr:cNvPr id="17" name="Shape 17"/>
        <xdr:cNvSpPr txBox="1"/>
      </xdr:nvSpPr>
      <xdr:spPr>
        <a:xfrm>
          <a:off x="5135269" y="3647720"/>
          <a:ext cx="421462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"OD</a:t>
          </a:r>
          <a:endParaRPr sz="1400"/>
        </a:p>
      </xdr:txBody>
    </xdr:sp>
    <xdr:clientData fLocksWithSheet="0"/>
  </xdr:oneCellAnchor>
  <xdr:oneCellAnchor>
    <xdr:from>
      <xdr:col>4</xdr:col>
      <xdr:colOff>266700</xdr:colOff>
      <xdr:row>12</xdr:row>
      <xdr:rowOff>0</xdr:rowOff>
    </xdr:from>
    <xdr:ext cx="428625" cy="266700"/>
    <xdr:sp>
      <xdr:nvSpPr>
        <xdr:cNvPr id="18" name="Shape 18"/>
        <xdr:cNvSpPr txBox="1"/>
      </xdr:nvSpPr>
      <xdr:spPr>
        <a:xfrm>
          <a:off x="5135269" y="3647720"/>
          <a:ext cx="421462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"OD</a:t>
          </a:r>
          <a:endParaRPr sz="1400"/>
        </a:p>
      </xdr:txBody>
    </xdr:sp>
    <xdr:clientData fLocksWithSheet="0"/>
  </xdr:oneCellAnchor>
  <xdr:oneCellAnchor>
    <xdr:from>
      <xdr:col>4</xdr:col>
      <xdr:colOff>266700</xdr:colOff>
      <xdr:row>13</xdr:row>
      <xdr:rowOff>0</xdr:rowOff>
    </xdr:from>
    <xdr:ext cx="428625" cy="266700"/>
    <xdr:sp>
      <xdr:nvSpPr>
        <xdr:cNvPr id="19" name="Shape 19"/>
        <xdr:cNvSpPr txBox="1"/>
      </xdr:nvSpPr>
      <xdr:spPr>
        <a:xfrm>
          <a:off x="5135269" y="3647720"/>
          <a:ext cx="421462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"OD</a:t>
          </a:r>
          <a:endParaRPr sz="1400"/>
        </a:p>
      </xdr:txBody>
    </xdr:sp>
    <xdr:clientData fLocksWithSheet="0"/>
  </xdr:oneCellAnchor>
  <xdr:oneCellAnchor>
    <xdr:from>
      <xdr:col>4</xdr:col>
      <xdr:colOff>266700</xdr:colOff>
      <xdr:row>14</xdr:row>
      <xdr:rowOff>0</xdr:rowOff>
    </xdr:from>
    <xdr:ext cx="428625" cy="266700"/>
    <xdr:sp>
      <xdr:nvSpPr>
        <xdr:cNvPr id="20" name="Shape 20"/>
        <xdr:cNvSpPr txBox="1"/>
      </xdr:nvSpPr>
      <xdr:spPr>
        <a:xfrm>
          <a:off x="5135269" y="3647720"/>
          <a:ext cx="421462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"OD</a:t>
          </a:r>
          <a:endParaRPr sz="1400"/>
        </a:p>
      </xdr:txBody>
    </xdr:sp>
    <xdr:clientData fLocksWithSheet="0"/>
  </xdr:oneCellAnchor>
  <xdr:oneCellAnchor>
    <xdr:from>
      <xdr:col>6</xdr:col>
      <xdr:colOff>276225</xdr:colOff>
      <xdr:row>8</xdr:row>
      <xdr:rowOff>142875</xdr:rowOff>
    </xdr:from>
    <xdr:ext cx="390525" cy="266700"/>
    <xdr:sp>
      <xdr:nvSpPr>
        <xdr:cNvPr id="21" name="Shape 21"/>
        <xdr:cNvSpPr txBox="1"/>
      </xdr:nvSpPr>
      <xdr:spPr>
        <a:xfrm>
          <a:off x="5151332" y="3647720"/>
          <a:ext cx="389337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"wt</a:t>
          </a:r>
          <a:endParaRPr sz="1400"/>
        </a:p>
      </xdr:txBody>
    </xdr:sp>
    <xdr:clientData fLocksWithSheet="0"/>
  </xdr:oneCellAnchor>
  <xdr:oneCellAnchor>
    <xdr:from>
      <xdr:col>6</xdr:col>
      <xdr:colOff>276225</xdr:colOff>
      <xdr:row>9</xdr:row>
      <xdr:rowOff>171450</xdr:rowOff>
    </xdr:from>
    <xdr:ext cx="390525" cy="266700"/>
    <xdr:sp>
      <xdr:nvSpPr>
        <xdr:cNvPr id="22" name="Shape 22"/>
        <xdr:cNvSpPr txBox="1"/>
      </xdr:nvSpPr>
      <xdr:spPr>
        <a:xfrm>
          <a:off x="5151332" y="3647720"/>
          <a:ext cx="389337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"wt</a:t>
          </a:r>
          <a:endParaRPr sz="1400"/>
        </a:p>
      </xdr:txBody>
    </xdr:sp>
    <xdr:clientData fLocksWithSheet="0"/>
  </xdr:oneCellAnchor>
  <xdr:oneCellAnchor>
    <xdr:from>
      <xdr:col>6</xdr:col>
      <xdr:colOff>276225</xdr:colOff>
      <xdr:row>10</xdr:row>
      <xdr:rowOff>152400</xdr:rowOff>
    </xdr:from>
    <xdr:ext cx="390525" cy="266700"/>
    <xdr:sp>
      <xdr:nvSpPr>
        <xdr:cNvPr id="23" name="Shape 23"/>
        <xdr:cNvSpPr txBox="1"/>
      </xdr:nvSpPr>
      <xdr:spPr>
        <a:xfrm>
          <a:off x="5151332" y="3647720"/>
          <a:ext cx="389337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"wt</a:t>
          </a:r>
          <a:endParaRPr sz="1400"/>
        </a:p>
      </xdr:txBody>
    </xdr:sp>
    <xdr:clientData fLocksWithSheet="0"/>
  </xdr:oneCellAnchor>
  <xdr:oneCellAnchor>
    <xdr:from>
      <xdr:col>6</xdr:col>
      <xdr:colOff>276225</xdr:colOff>
      <xdr:row>11</xdr:row>
      <xdr:rowOff>152400</xdr:rowOff>
    </xdr:from>
    <xdr:ext cx="390525" cy="266700"/>
    <xdr:sp>
      <xdr:nvSpPr>
        <xdr:cNvPr id="24" name="Shape 24"/>
        <xdr:cNvSpPr txBox="1"/>
      </xdr:nvSpPr>
      <xdr:spPr>
        <a:xfrm>
          <a:off x="5151332" y="3647720"/>
          <a:ext cx="389337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"wt</a:t>
          </a:r>
          <a:endParaRPr sz="1400"/>
        </a:p>
      </xdr:txBody>
    </xdr:sp>
    <xdr:clientData fLocksWithSheet="0"/>
  </xdr:oneCellAnchor>
  <xdr:oneCellAnchor>
    <xdr:from>
      <xdr:col>6</xdr:col>
      <xdr:colOff>276225</xdr:colOff>
      <xdr:row>12</xdr:row>
      <xdr:rowOff>171450</xdr:rowOff>
    </xdr:from>
    <xdr:ext cx="390525" cy="266700"/>
    <xdr:sp>
      <xdr:nvSpPr>
        <xdr:cNvPr id="25" name="Shape 25"/>
        <xdr:cNvSpPr txBox="1"/>
      </xdr:nvSpPr>
      <xdr:spPr>
        <a:xfrm>
          <a:off x="5151332" y="3647720"/>
          <a:ext cx="389337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"wt</a:t>
          </a:r>
          <a:endParaRPr sz="1400"/>
        </a:p>
      </xdr:txBody>
    </xdr:sp>
    <xdr:clientData fLocksWithSheet="0"/>
  </xdr:oneCellAnchor>
  <xdr:oneCellAnchor>
    <xdr:from>
      <xdr:col>8</xdr:col>
      <xdr:colOff>381000</xdr:colOff>
      <xdr:row>8</xdr:row>
      <xdr:rowOff>133350</xdr:rowOff>
    </xdr:from>
    <xdr:ext cx="304800" cy="266700"/>
    <xdr:sp>
      <xdr:nvSpPr>
        <xdr:cNvPr id="26" name="Shape 26"/>
        <xdr:cNvSpPr txBox="1"/>
      </xdr:nvSpPr>
      <xdr:spPr>
        <a:xfrm>
          <a:off x="5195863" y="3647720"/>
          <a:ext cx="300275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gr</a:t>
          </a:r>
          <a:endParaRPr sz="1400"/>
        </a:p>
      </xdr:txBody>
    </xdr:sp>
    <xdr:clientData fLocksWithSheet="0"/>
  </xdr:oneCellAnchor>
  <xdr:oneCellAnchor>
    <xdr:from>
      <xdr:col>8</xdr:col>
      <xdr:colOff>371475</xdr:colOff>
      <xdr:row>9</xdr:row>
      <xdr:rowOff>161925</xdr:rowOff>
    </xdr:from>
    <xdr:ext cx="304800" cy="266700"/>
    <xdr:sp>
      <xdr:nvSpPr>
        <xdr:cNvPr id="27" name="Shape 27"/>
        <xdr:cNvSpPr txBox="1"/>
      </xdr:nvSpPr>
      <xdr:spPr>
        <a:xfrm>
          <a:off x="5195863" y="3647720"/>
          <a:ext cx="300275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gr</a:t>
          </a:r>
          <a:endParaRPr sz="1400"/>
        </a:p>
      </xdr:txBody>
    </xdr:sp>
    <xdr:clientData fLocksWithSheet="0"/>
  </xdr:oneCellAnchor>
  <xdr:oneCellAnchor>
    <xdr:from>
      <xdr:col>8</xdr:col>
      <xdr:colOff>371475</xdr:colOff>
      <xdr:row>10</xdr:row>
      <xdr:rowOff>161925</xdr:rowOff>
    </xdr:from>
    <xdr:ext cx="304800" cy="266700"/>
    <xdr:sp>
      <xdr:nvSpPr>
        <xdr:cNvPr id="28" name="Shape 28"/>
        <xdr:cNvSpPr txBox="1"/>
      </xdr:nvSpPr>
      <xdr:spPr>
        <a:xfrm>
          <a:off x="5195863" y="3647720"/>
          <a:ext cx="300275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gr</a:t>
          </a:r>
          <a:endParaRPr sz="1400"/>
        </a:p>
      </xdr:txBody>
    </xdr:sp>
    <xdr:clientData fLocksWithSheet="0"/>
  </xdr:oneCellAnchor>
  <xdr:oneCellAnchor>
    <xdr:from>
      <xdr:col>8</xdr:col>
      <xdr:colOff>361950</xdr:colOff>
      <xdr:row>11</xdr:row>
      <xdr:rowOff>152400</xdr:rowOff>
    </xdr:from>
    <xdr:ext cx="304800" cy="266700"/>
    <xdr:sp>
      <xdr:nvSpPr>
        <xdr:cNvPr id="29" name="Shape 29"/>
        <xdr:cNvSpPr txBox="1"/>
      </xdr:nvSpPr>
      <xdr:spPr>
        <a:xfrm>
          <a:off x="5195863" y="3647720"/>
          <a:ext cx="300275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gr</a:t>
          </a:r>
          <a:endParaRPr sz="1400"/>
        </a:p>
      </xdr:txBody>
    </xdr:sp>
    <xdr:clientData fLocksWithSheet="0"/>
  </xdr:oneCellAnchor>
  <xdr:oneCellAnchor>
    <xdr:from>
      <xdr:col>8</xdr:col>
      <xdr:colOff>371475</xdr:colOff>
      <xdr:row>12</xdr:row>
      <xdr:rowOff>161925</xdr:rowOff>
    </xdr:from>
    <xdr:ext cx="304800" cy="266700"/>
    <xdr:sp>
      <xdr:nvSpPr>
        <xdr:cNvPr id="30" name="Shape 30"/>
        <xdr:cNvSpPr txBox="1"/>
      </xdr:nvSpPr>
      <xdr:spPr>
        <a:xfrm>
          <a:off x="5195863" y="3647720"/>
          <a:ext cx="300275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gr</a:t>
          </a:r>
          <a:endParaRPr sz="1400"/>
        </a:p>
      </xdr:txBody>
    </xdr:sp>
    <xdr:clientData fLocksWithSheet="0"/>
  </xdr:oneCellAnchor>
  <xdr:oneCellAnchor>
    <xdr:from>
      <xdr:col>8</xdr:col>
      <xdr:colOff>381000</xdr:colOff>
      <xdr:row>13</xdr:row>
      <xdr:rowOff>171450</xdr:rowOff>
    </xdr:from>
    <xdr:ext cx="304800" cy="266700"/>
    <xdr:sp>
      <xdr:nvSpPr>
        <xdr:cNvPr id="31" name="Shape 31"/>
        <xdr:cNvSpPr txBox="1"/>
      </xdr:nvSpPr>
      <xdr:spPr>
        <a:xfrm>
          <a:off x="5195863" y="3647720"/>
          <a:ext cx="300275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gr</a:t>
          </a:r>
          <a:endParaRPr sz="1400"/>
        </a:p>
      </xdr:txBody>
    </xdr:sp>
    <xdr:clientData fLocksWithSheet="0"/>
  </xdr:oneCellAnchor>
  <xdr:oneCellAnchor>
    <xdr:from>
      <xdr:col>14</xdr:col>
      <xdr:colOff>266700</xdr:colOff>
      <xdr:row>8</xdr:row>
      <xdr:rowOff>142875</xdr:rowOff>
    </xdr:from>
    <xdr:ext cx="352425" cy="266700"/>
    <xdr:sp>
      <xdr:nvSpPr>
        <xdr:cNvPr id="32" name="Shape 32"/>
        <xdr:cNvSpPr txBox="1"/>
      </xdr:nvSpPr>
      <xdr:spPr>
        <a:xfrm>
          <a:off x="5172844" y="3647720"/>
          <a:ext cx="346313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psi</a:t>
          </a:r>
          <a:endParaRPr sz="1400"/>
        </a:p>
      </xdr:txBody>
    </xdr:sp>
    <xdr:clientData fLocksWithSheet="0"/>
  </xdr:oneCellAnchor>
  <xdr:oneCellAnchor>
    <xdr:from>
      <xdr:col>14</xdr:col>
      <xdr:colOff>276225</xdr:colOff>
      <xdr:row>9</xdr:row>
      <xdr:rowOff>133350</xdr:rowOff>
    </xdr:from>
    <xdr:ext cx="352425" cy="266700"/>
    <xdr:sp>
      <xdr:nvSpPr>
        <xdr:cNvPr id="33" name="Shape 33"/>
        <xdr:cNvSpPr txBox="1"/>
      </xdr:nvSpPr>
      <xdr:spPr>
        <a:xfrm>
          <a:off x="5172844" y="3647720"/>
          <a:ext cx="346313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psi</a:t>
          </a:r>
          <a:endParaRPr sz="1400"/>
        </a:p>
      </xdr:txBody>
    </xdr:sp>
    <xdr:clientData fLocksWithSheet="0"/>
  </xdr:oneCellAnchor>
  <xdr:oneCellAnchor>
    <xdr:from>
      <xdr:col>14</xdr:col>
      <xdr:colOff>285750</xdr:colOff>
      <xdr:row>10</xdr:row>
      <xdr:rowOff>123825</xdr:rowOff>
    </xdr:from>
    <xdr:ext cx="352425" cy="266700"/>
    <xdr:sp>
      <xdr:nvSpPr>
        <xdr:cNvPr id="34" name="Shape 34"/>
        <xdr:cNvSpPr txBox="1"/>
      </xdr:nvSpPr>
      <xdr:spPr>
        <a:xfrm>
          <a:off x="5172844" y="3647720"/>
          <a:ext cx="346313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psi</a:t>
          </a:r>
          <a:endParaRPr sz="1400"/>
        </a:p>
      </xdr:txBody>
    </xdr:sp>
    <xdr:clientData fLocksWithSheet="0"/>
  </xdr:oneCellAnchor>
  <xdr:oneCellAnchor>
    <xdr:from>
      <xdr:col>14</xdr:col>
      <xdr:colOff>285750</xdr:colOff>
      <xdr:row>11</xdr:row>
      <xdr:rowOff>123825</xdr:rowOff>
    </xdr:from>
    <xdr:ext cx="352425" cy="266700"/>
    <xdr:sp>
      <xdr:nvSpPr>
        <xdr:cNvPr id="35" name="Shape 35"/>
        <xdr:cNvSpPr txBox="1"/>
      </xdr:nvSpPr>
      <xdr:spPr>
        <a:xfrm>
          <a:off x="5172844" y="3647720"/>
          <a:ext cx="346313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psi</a:t>
          </a:r>
          <a:endParaRPr sz="1400"/>
        </a:p>
      </xdr:txBody>
    </xdr:sp>
    <xdr:clientData fLocksWithSheet="0"/>
  </xdr:oneCellAnchor>
  <xdr:oneCellAnchor>
    <xdr:from>
      <xdr:col>14</xdr:col>
      <xdr:colOff>285750</xdr:colOff>
      <xdr:row>12</xdr:row>
      <xdr:rowOff>133350</xdr:rowOff>
    </xdr:from>
    <xdr:ext cx="352425" cy="266700"/>
    <xdr:sp>
      <xdr:nvSpPr>
        <xdr:cNvPr id="36" name="Shape 36"/>
        <xdr:cNvSpPr txBox="1"/>
      </xdr:nvSpPr>
      <xdr:spPr>
        <a:xfrm>
          <a:off x="5172844" y="3647720"/>
          <a:ext cx="346313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psi</a:t>
          </a:r>
          <a:endParaRPr sz="1400"/>
        </a:p>
      </xdr:txBody>
    </xdr:sp>
    <xdr:clientData fLocksWithSheet="0"/>
  </xdr:oneCellAnchor>
  <xdr:oneCellAnchor>
    <xdr:from>
      <xdr:col>14</xdr:col>
      <xdr:colOff>133350</xdr:colOff>
      <xdr:row>13</xdr:row>
      <xdr:rowOff>161925</xdr:rowOff>
    </xdr:from>
    <xdr:ext cx="542925" cy="219075"/>
    <xdr:sp>
      <xdr:nvSpPr>
        <xdr:cNvPr id="37" name="Shape 37"/>
        <xdr:cNvSpPr txBox="1"/>
      </xdr:nvSpPr>
      <xdr:spPr>
        <a:xfrm>
          <a:off x="5075798" y="3671220"/>
          <a:ext cx="540404" cy="217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readings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14</xdr:row>
      <xdr:rowOff>161925</xdr:rowOff>
    </xdr:from>
    <xdr:ext cx="647700" cy="219075"/>
    <xdr:sp>
      <xdr:nvSpPr>
        <xdr:cNvPr id="38" name="Shape 38"/>
        <xdr:cNvSpPr txBox="1"/>
      </xdr:nvSpPr>
      <xdr:spPr>
        <a:xfrm>
          <a:off x="5022290" y="3671220"/>
          <a:ext cx="647421" cy="217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gals/stroke</a:t>
          </a:r>
          <a:endParaRPr sz="1400"/>
        </a:p>
      </xdr:txBody>
    </xdr:sp>
    <xdr:clientData fLocksWithSheet="0"/>
  </xdr:oneCellAnchor>
  <xdr:oneCellAnchor>
    <xdr:from>
      <xdr:col>13</xdr:col>
      <xdr:colOff>685800</xdr:colOff>
      <xdr:row>15</xdr:row>
      <xdr:rowOff>152400</xdr:rowOff>
    </xdr:from>
    <xdr:ext cx="704850" cy="219075"/>
    <xdr:sp>
      <xdr:nvSpPr>
        <xdr:cNvPr id="39" name="Shape 39"/>
        <xdr:cNvSpPr txBox="1"/>
      </xdr:nvSpPr>
      <xdr:spPr>
        <a:xfrm>
          <a:off x="4995520" y="3671220"/>
          <a:ext cx="700961" cy="217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gals/reading</a:t>
          </a:r>
          <a:endParaRPr sz="1400"/>
        </a:p>
      </xdr:txBody>
    </xdr:sp>
    <xdr:clientData fLocksWithSheet="0"/>
  </xdr:oneCellAnchor>
  <xdr:oneCellAnchor>
    <xdr:from>
      <xdr:col>14</xdr:col>
      <xdr:colOff>0</xdr:colOff>
      <xdr:row>16</xdr:row>
      <xdr:rowOff>161925</xdr:rowOff>
    </xdr:from>
    <xdr:ext cx="704850" cy="219075"/>
    <xdr:sp>
      <xdr:nvSpPr>
        <xdr:cNvPr id="40" name="Shape 40"/>
        <xdr:cNvSpPr txBox="1"/>
      </xdr:nvSpPr>
      <xdr:spPr>
        <a:xfrm>
          <a:off x="4995520" y="3671220"/>
          <a:ext cx="700961" cy="217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gals/reading</a:t>
          </a:r>
          <a:endParaRPr sz="1400"/>
        </a:p>
      </xdr:txBody>
    </xdr:sp>
    <xdr:clientData fLocksWithSheet="0"/>
  </xdr:oneCellAnchor>
  <xdr:oneCellAnchor>
    <xdr:from>
      <xdr:col>10</xdr:col>
      <xdr:colOff>342900</xdr:colOff>
      <xdr:row>49</xdr:row>
      <xdr:rowOff>180975</xdr:rowOff>
    </xdr:from>
    <xdr:ext cx="352425" cy="295275"/>
    <xdr:sp>
      <xdr:nvSpPr>
        <xdr:cNvPr id="41" name="Shape 41"/>
        <xdr:cNvSpPr txBox="1"/>
      </xdr:nvSpPr>
      <xdr:spPr>
        <a:xfrm>
          <a:off x="5172844" y="3632837"/>
          <a:ext cx="346313" cy="29432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psi</a:t>
          </a:r>
          <a:endParaRPr sz="1400"/>
        </a:p>
      </xdr:txBody>
    </xdr:sp>
    <xdr:clientData fLocksWithSheet="0"/>
  </xdr:oneCellAnchor>
  <xdr:oneCellAnchor>
    <xdr:from>
      <xdr:col>6</xdr:col>
      <xdr:colOff>266700</xdr:colOff>
      <xdr:row>50</xdr:row>
      <xdr:rowOff>0</xdr:rowOff>
    </xdr:from>
    <xdr:ext cx="428625" cy="180975"/>
    <xdr:sp>
      <xdr:nvSpPr>
        <xdr:cNvPr id="42" name="Shape 42"/>
        <xdr:cNvSpPr txBox="1"/>
      </xdr:nvSpPr>
      <xdr:spPr>
        <a:xfrm>
          <a:off x="5133474" y="3692489"/>
          <a:ext cx="425052" cy="175023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gals</a:t>
          </a:r>
          <a:endParaRPr sz="1400"/>
        </a:p>
      </xdr:txBody>
    </xdr:sp>
    <xdr:clientData fLocksWithSheet="0"/>
  </xdr:oneCellAnchor>
  <xdr:oneCellAnchor>
    <xdr:from>
      <xdr:col>13</xdr:col>
      <xdr:colOff>552450</xdr:colOff>
      <xdr:row>50</xdr:row>
      <xdr:rowOff>171450</xdr:rowOff>
    </xdr:from>
    <xdr:ext cx="819150" cy="266700"/>
    <xdr:sp>
      <xdr:nvSpPr>
        <xdr:cNvPr id="43" name="Shape 43"/>
        <xdr:cNvSpPr txBox="1"/>
      </xdr:nvSpPr>
      <xdr:spPr>
        <a:xfrm>
          <a:off x="4939997" y="3647841"/>
          <a:ext cx="812007" cy="2643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gals/increme</a:t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28575</xdr:rowOff>
    </xdr:from>
    <xdr:ext cx="2990850" cy="638175"/>
    <xdr:pic>
      <xdr:nvPicPr>
        <xdr:cNvPr descr="Bobcat Contracting Logo.jp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../Content.Outlook/AppData/Local/Microsoft/Windows/INetCache/Content.Outlook/AppData/Local/Microsoft/Windows/INetCache/Content.Outlook/AppData/Documents/BobcatContracting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../Content.Outlook/AppData/Local/Microsoft/Windows/INetCache/Content.Outlook/AppData/Local/Microsoft/Windows/INetCache/Content.Outlook/AppData/Documents/BobcatContracting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0.0"/>
    <col customWidth="1" min="3" max="4" width="8.71"/>
    <col customWidth="1" min="5" max="5" width="8.86"/>
    <col customWidth="1" min="6" max="6" width="9.43"/>
    <col customWidth="1" min="7" max="7" width="14.71"/>
    <col customWidth="1" min="8" max="8" width="8.71"/>
    <col customWidth="1" min="9" max="9" width="10.71"/>
    <col customWidth="1" min="10" max="26" width="8.71"/>
  </cols>
  <sheetData>
    <row r="1" ht="14.25" customHeight="1">
      <c r="F1" s="3" t="s">
        <v>0</v>
      </c>
      <c r="G1" s="4"/>
      <c r="H1" s="4"/>
      <c r="I1" s="5"/>
    </row>
    <row r="2" ht="14.25" customHeight="1">
      <c r="F2" s="7" t="s">
        <v>1</v>
      </c>
      <c r="I2" s="8"/>
    </row>
    <row r="3" ht="14.25" customHeight="1">
      <c r="F3" s="7" t="s">
        <v>2</v>
      </c>
      <c r="I3" s="8"/>
    </row>
    <row r="4" ht="14.25" customHeight="1">
      <c r="F4" s="7" t="s">
        <v>3</v>
      </c>
      <c r="I4" s="8"/>
    </row>
    <row r="5" ht="14.25" customHeight="1">
      <c r="F5" s="11" t="s">
        <v>4</v>
      </c>
      <c r="G5" s="12"/>
      <c r="H5" s="12"/>
      <c r="I5" s="13"/>
    </row>
    <row r="6" ht="14.25" customHeight="1">
      <c r="A6" s="24" t="s">
        <v>8</v>
      </c>
      <c r="B6" s="25"/>
      <c r="C6" s="25"/>
      <c r="D6" s="25"/>
      <c r="E6" s="25"/>
      <c r="F6" s="25"/>
      <c r="G6" s="25"/>
      <c r="H6" s="25"/>
      <c r="I6" s="27"/>
    </row>
    <row r="7" ht="14.25" customHeight="1">
      <c r="A7" s="30" t="s">
        <v>12</v>
      </c>
      <c r="B7" s="27"/>
      <c r="C7" s="33" t="s">
        <v>15</v>
      </c>
      <c r="D7" s="25"/>
      <c r="E7" s="27"/>
      <c r="F7" s="34" t="s">
        <v>16</v>
      </c>
      <c r="G7" s="36">
        <v>180.64635</v>
      </c>
      <c r="H7" s="25"/>
      <c r="I7" s="27"/>
    </row>
    <row r="8" ht="14.25" customHeight="1">
      <c r="A8" s="30" t="s">
        <v>17</v>
      </c>
      <c r="B8" s="27"/>
      <c r="C8" s="33" t="s">
        <v>18</v>
      </c>
      <c r="D8" s="25"/>
      <c r="E8" s="27"/>
      <c r="F8" s="34" t="s">
        <v>19</v>
      </c>
      <c r="G8" s="36" t="s">
        <v>20</v>
      </c>
      <c r="H8" s="25"/>
      <c r="I8" s="27"/>
    </row>
    <row r="9" ht="14.25" customHeight="1">
      <c r="A9" s="30" t="s">
        <v>21</v>
      </c>
      <c r="B9" s="27"/>
      <c r="C9" s="36" t="s">
        <v>23</v>
      </c>
      <c r="D9" s="25"/>
      <c r="E9" s="27"/>
      <c r="F9" s="34" t="s">
        <v>25</v>
      </c>
      <c r="G9" s="42">
        <v>46263.0</v>
      </c>
      <c r="H9" s="25"/>
      <c r="I9" s="27"/>
    </row>
    <row r="10" ht="14.25" customHeight="1">
      <c r="A10" s="24"/>
      <c r="B10" s="25"/>
      <c r="C10" s="25"/>
      <c r="D10" s="25"/>
      <c r="E10" s="25"/>
      <c r="F10" s="25"/>
      <c r="G10" s="25"/>
      <c r="H10" s="25"/>
      <c r="I10" s="27"/>
    </row>
    <row r="11" ht="14.25" customHeight="1">
      <c r="A11" s="43" t="s">
        <v>33</v>
      </c>
      <c r="B11" s="27"/>
      <c r="C11" s="46" t="s">
        <v>35</v>
      </c>
      <c r="D11" s="47" t="s">
        <v>39</v>
      </c>
      <c r="E11" s="46" t="s">
        <v>40</v>
      </c>
      <c r="F11" s="48" t="s">
        <v>41</v>
      </c>
      <c r="G11" s="43" t="s">
        <v>44</v>
      </c>
      <c r="H11" s="27"/>
      <c r="I11" s="49">
        <v>46150.0</v>
      </c>
    </row>
    <row r="12" ht="14.25" customHeight="1">
      <c r="A12" s="43" t="s">
        <v>47</v>
      </c>
      <c r="B12" s="27"/>
      <c r="C12" s="46" t="s">
        <v>35</v>
      </c>
      <c r="D12" s="47" t="s">
        <v>48</v>
      </c>
      <c r="E12" s="46" t="s">
        <v>40</v>
      </c>
      <c r="F12" s="48" t="s">
        <v>49</v>
      </c>
      <c r="G12" s="43" t="s">
        <v>44</v>
      </c>
      <c r="H12" s="27"/>
      <c r="I12" s="49">
        <v>46150.0</v>
      </c>
    </row>
    <row r="13" ht="14.25" customHeight="1">
      <c r="A13" s="43" t="s">
        <v>50</v>
      </c>
      <c r="B13" s="27"/>
      <c r="C13" s="46" t="s">
        <v>35</v>
      </c>
      <c r="D13" s="52" t="s">
        <v>51</v>
      </c>
      <c r="E13" s="46" t="s">
        <v>52</v>
      </c>
      <c r="F13" s="48" t="s">
        <v>49</v>
      </c>
      <c r="G13" s="43" t="s">
        <v>44</v>
      </c>
      <c r="H13" s="27"/>
      <c r="I13" s="49">
        <v>46150.0</v>
      </c>
    </row>
    <row r="14" ht="14.25" customHeight="1">
      <c r="A14" s="43" t="s">
        <v>54</v>
      </c>
      <c r="B14" s="27"/>
      <c r="C14" s="46" t="s">
        <v>35</v>
      </c>
      <c r="D14" s="52" t="s">
        <v>57</v>
      </c>
      <c r="E14" s="46" t="s">
        <v>58</v>
      </c>
      <c r="F14" s="48" t="s">
        <v>49</v>
      </c>
      <c r="G14" s="43" t="s">
        <v>44</v>
      </c>
      <c r="H14" s="27"/>
      <c r="I14" s="49">
        <v>46150.0</v>
      </c>
    </row>
    <row r="15" ht="14.25" customHeight="1">
      <c r="A15" s="43" t="s">
        <v>60</v>
      </c>
      <c r="B15" s="27"/>
      <c r="C15" s="46" t="s">
        <v>35</v>
      </c>
      <c r="D15" s="52" t="s">
        <v>62</v>
      </c>
      <c r="E15" s="46" t="s">
        <v>63</v>
      </c>
      <c r="F15" s="48" t="s">
        <v>49</v>
      </c>
      <c r="G15" s="43" t="s">
        <v>44</v>
      </c>
      <c r="H15" s="27"/>
      <c r="I15" s="49">
        <v>46150.0</v>
      </c>
    </row>
    <row r="16" ht="14.25" customHeight="1">
      <c r="A16" s="43" t="s">
        <v>65</v>
      </c>
      <c r="B16" s="27"/>
      <c r="C16" s="46" t="s">
        <v>35</v>
      </c>
      <c r="D16" s="52" t="s">
        <v>67</v>
      </c>
      <c r="E16" s="46" t="s">
        <v>40</v>
      </c>
      <c r="F16" s="21" t="s">
        <v>69</v>
      </c>
      <c r="G16" s="43" t="s">
        <v>44</v>
      </c>
      <c r="H16" s="27"/>
      <c r="I16" s="49">
        <v>46150.0</v>
      </c>
    </row>
    <row r="17" ht="14.25" customHeight="1">
      <c r="A17" s="24" t="s">
        <v>70</v>
      </c>
      <c r="B17" s="25"/>
      <c r="C17" s="25"/>
      <c r="D17" s="25"/>
      <c r="E17" s="25"/>
      <c r="F17" s="25"/>
      <c r="G17" s="25"/>
      <c r="H17" s="25"/>
      <c r="I17" s="27"/>
    </row>
    <row r="18" ht="14.25" customHeight="1">
      <c r="A18" s="30" t="s">
        <v>72</v>
      </c>
      <c r="B18" s="25"/>
      <c r="C18" s="27"/>
      <c r="D18" s="21">
        <v>4120.0</v>
      </c>
      <c r="E18" s="43" t="s">
        <v>74</v>
      </c>
      <c r="F18" s="25"/>
      <c r="G18" s="27"/>
      <c r="H18" s="36">
        <v>4170.0</v>
      </c>
      <c r="I18" s="27"/>
    </row>
    <row r="19" ht="14.25" customHeight="1">
      <c r="A19" s="34" t="s">
        <v>76</v>
      </c>
      <c r="B19" s="66" t="s">
        <v>77</v>
      </c>
      <c r="C19" s="25"/>
      <c r="D19" s="27"/>
      <c r="E19" s="68" t="s">
        <v>78</v>
      </c>
      <c r="F19" s="27"/>
      <c r="G19" s="70">
        <v>2046.0</v>
      </c>
      <c r="H19" s="25"/>
      <c r="I19" s="27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4.25" customHeight="1">
      <c r="A20" s="34" t="s">
        <v>83</v>
      </c>
      <c r="B20" s="36" t="s">
        <v>84</v>
      </c>
      <c r="C20" s="25"/>
      <c r="D20" s="27"/>
      <c r="E20" s="68" t="s">
        <v>86</v>
      </c>
      <c r="F20" s="25"/>
      <c r="G20" s="27"/>
      <c r="H20" s="61" t="s">
        <v>87</v>
      </c>
      <c r="I20" s="27"/>
    </row>
    <row r="21" ht="14.25" customHeight="1">
      <c r="A21" s="24" t="s">
        <v>90</v>
      </c>
      <c r="B21" s="25"/>
      <c r="C21" s="25"/>
      <c r="D21" s="25"/>
      <c r="E21" s="25"/>
      <c r="F21" s="25"/>
      <c r="G21" s="25"/>
      <c r="H21" s="25"/>
      <c r="I21" s="27"/>
    </row>
    <row r="22" ht="14.25" customHeight="1">
      <c r="A22" s="46" t="s">
        <v>92</v>
      </c>
      <c r="B22" s="46" t="s">
        <v>93</v>
      </c>
      <c r="C22" s="46" t="s">
        <v>95</v>
      </c>
      <c r="D22" s="46" t="s">
        <v>96</v>
      </c>
      <c r="E22" s="46" t="s">
        <v>98</v>
      </c>
      <c r="F22" s="43" t="s">
        <v>99</v>
      </c>
      <c r="G22" s="25"/>
      <c r="H22" s="25"/>
      <c r="I22" s="27"/>
    </row>
    <row r="23" ht="14.25" customHeight="1">
      <c r="A23" s="77">
        <v>0.2111111111111111</v>
      </c>
      <c r="B23" s="21">
        <v>0.0</v>
      </c>
      <c r="C23" s="21">
        <v>68.0</v>
      </c>
      <c r="D23" s="21">
        <v>72.0</v>
      </c>
      <c r="E23" s="21">
        <v>84.0</v>
      </c>
      <c r="F23" s="33" t="s">
        <v>101</v>
      </c>
      <c r="G23" s="25"/>
      <c r="H23" s="25"/>
      <c r="I23" s="27"/>
    </row>
    <row r="24" ht="14.25" customHeight="1">
      <c r="A24" s="77">
        <v>0.25069444444444444</v>
      </c>
      <c r="B24" s="21">
        <v>3119.0</v>
      </c>
      <c r="C24" s="21">
        <v>68.0</v>
      </c>
      <c r="D24" s="21">
        <v>72.0</v>
      </c>
      <c r="E24" s="21">
        <v>84.0</v>
      </c>
      <c r="F24" s="36" t="s">
        <v>102</v>
      </c>
      <c r="G24" s="25"/>
      <c r="H24" s="25"/>
      <c r="I24" s="27"/>
    </row>
    <row r="25" ht="14.25" customHeight="1">
      <c r="A25" s="77">
        <v>0.3145833333333333</v>
      </c>
      <c r="B25" s="21">
        <v>3100.0</v>
      </c>
      <c r="C25" s="21">
        <v>64.0</v>
      </c>
      <c r="D25" s="21">
        <v>72.0</v>
      </c>
      <c r="E25" s="21">
        <v>84.0</v>
      </c>
      <c r="F25" s="36" t="s">
        <v>104</v>
      </c>
      <c r="G25" s="25"/>
      <c r="H25" s="25"/>
      <c r="I25" s="27"/>
    </row>
    <row r="26" ht="14.25" customHeight="1">
      <c r="A26" s="82">
        <v>0.37777777777777777</v>
      </c>
      <c r="B26" s="21">
        <v>4158.0</v>
      </c>
      <c r="C26" s="21">
        <v>72.0</v>
      </c>
      <c r="D26" s="21">
        <v>72.0</v>
      </c>
      <c r="E26" s="21">
        <v>84.0</v>
      </c>
      <c r="F26" s="36" t="s">
        <v>106</v>
      </c>
      <c r="G26" s="25"/>
      <c r="H26" s="25"/>
      <c r="I26" s="27"/>
    </row>
    <row r="27" ht="14.25" customHeight="1">
      <c r="A27" s="77">
        <v>0.3958333333333333</v>
      </c>
      <c r="B27" s="21">
        <v>4160.0</v>
      </c>
      <c r="C27" s="21">
        <v>76.0</v>
      </c>
      <c r="D27" s="21">
        <v>72.0</v>
      </c>
      <c r="E27" s="21">
        <v>83.0</v>
      </c>
      <c r="F27" s="36" t="s">
        <v>108</v>
      </c>
      <c r="G27" s="25"/>
      <c r="H27" s="25"/>
      <c r="I27" s="27"/>
    </row>
    <row r="28" ht="14.25" customHeight="1">
      <c r="A28" s="77">
        <v>0.40625</v>
      </c>
      <c r="B28" s="21">
        <v>4167.0</v>
      </c>
      <c r="C28" s="21">
        <v>77.0</v>
      </c>
      <c r="D28" s="21">
        <v>72.0</v>
      </c>
      <c r="E28" s="21">
        <v>82.0</v>
      </c>
      <c r="F28" s="36" t="s">
        <v>109</v>
      </c>
      <c r="G28" s="25"/>
      <c r="H28" s="25"/>
      <c r="I28" s="27"/>
    </row>
    <row r="29" ht="14.25" customHeight="1">
      <c r="A29" s="77">
        <v>0.4166666666666667</v>
      </c>
      <c r="B29" s="21">
        <v>4162.0</v>
      </c>
      <c r="C29" s="21">
        <v>78.0</v>
      </c>
      <c r="D29" s="21">
        <v>72.0</v>
      </c>
      <c r="E29" s="21">
        <v>82.0</v>
      </c>
      <c r="F29" s="36" t="s">
        <v>110</v>
      </c>
      <c r="G29" s="25"/>
      <c r="H29" s="25"/>
      <c r="I29" s="27"/>
    </row>
    <row r="30" ht="14.25" customHeight="1">
      <c r="A30" s="77">
        <v>0.4270833333333333</v>
      </c>
      <c r="B30" s="21">
        <v>4148.0</v>
      </c>
      <c r="C30" s="21">
        <v>80.0</v>
      </c>
      <c r="D30" s="21">
        <v>72.0</v>
      </c>
      <c r="E30" s="21">
        <v>82.0</v>
      </c>
      <c r="F30" s="36" t="s">
        <v>111</v>
      </c>
      <c r="G30" s="25"/>
      <c r="H30" s="25"/>
      <c r="I30" s="27"/>
    </row>
    <row r="31" ht="14.25" customHeight="1">
      <c r="A31" s="77">
        <v>0.4375</v>
      </c>
      <c r="B31" s="21">
        <v>4153.0</v>
      </c>
      <c r="C31" s="21">
        <v>81.0</v>
      </c>
      <c r="D31" s="21">
        <v>72.0</v>
      </c>
      <c r="E31" s="21">
        <v>82.0</v>
      </c>
      <c r="F31" s="36" t="s">
        <v>111</v>
      </c>
      <c r="G31" s="25"/>
      <c r="H31" s="25"/>
      <c r="I31" s="27"/>
    </row>
    <row r="32" ht="14.25" customHeight="1">
      <c r="A32" s="77">
        <v>0.4479166666666667</v>
      </c>
      <c r="B32" s="21">
        <v>4157.0</v>
      </c>
      <c r="C32" s="21">
        <v>82.0</v>
      </c>
      <c r="D32" s="21">
        <v>72.0</v>
      </c>
      <c r="E32" s="21">
        <v>81.0</v>
      </c>
      <c r="F32" s="36" t="s">
        <v>111</v>
      </c>
      <c r="G32" s="25"/>
      <c r="H32" s="25"/>
      <c r="I32" s="27"/>
    </row>
    <row r="33" ht="14.25" customHeight="1">
      <c r="A33" s="77">
        <v>0.4583333333333333</v>
      </c>
      <c r="B33" s="21">
        <v>4162.0</v>
      </c>
      <c r="C33" s="21">
        <v>84.0</v>
      </c>
      <c r="D33" s="21">
        <v>72.0</v>
      </c>
      <c r="E33" s="21">
        <v>81.0</v>
      </c>
      <c r="F33" s="36" t="s">
        <v>112</v>
      </c>
      <c r="G33" s="25"/>
      <c r="H33" s="25"/>
      <c r="I33" s="27"/>
    </row>
    <row r="34" ht="14.25" customHeight="1">
      <c r="A34" s="77">
        <v>0.46875</v>
      </c>
      <c r="B34" s="21">
        <v>4149.0</v>
      </c>
      <c r="C34" s="21">
        <v>86.0</v>
      </c>
      <c r="D34" s="21">
        <v>72.0</v>
      </c>
      <c r="E34" s="21">
        <v>80.0</v>
      </c>
      <c r="F34" s="36" t="s">
        <v>111</v>
      </c>
      <c r="G34" s="25"/>
      <c r="H34" s="25"/>
      <c r="I34" s="27"/>
    </row>
    <row r="35" ht="14.25" customHeight="1">
      <c r="A35" s="77">
        <v>0.4791666666666667</v>
      </c>
      <c r="B35" s="21">
        <v>4153.0</v>
      </c>
      <c r="C35" s="21">
        <v>86.0</v>
      </c>
      <c r="D35" s="21">
        <v>72.0</v>
      </c>
      <c r="E35" s="21">
        <v>80.0</v>
      </c>
      <c r="F35" s="36" t="s">
        <v>111</v>
      </c>
      <c r="G35" s="25"/>
      <c r="H35" s="25"/>
      <c r="I35" s="27"/>
      <c r="P35" s="89"/>
    </row>
    <row r="36" ht="14.25" customHeight="1">
      <c r="A36" s="77">
        <v>0.4895833333333333</v>
      </c>
      <c r="B36" s="21">
        <v>4156.0</v>
      </c>
      <c r="C36" s="21">
        <v>87.0</v>
      </c>
      <c r="D36" s="21">
        <v>72.0</v>
      </c>
      <c r="E36" s="21">
        <v>80.0</v>
      </c>
      <c r="F36" s="36" t="s">
        <v>111</v>
      </c>
      <c r="G36" s="25"/>
      <c r="H36" s="25"/>
      <c r="I36" s="27"/>
    </row>
    <row r="37" ht="14.25" customHeight="1">
      <c r="A37" s="77">
        <v>0.5</v>
      </c>
      <c r="B37" s="21">
        <v>4161.0</v>
      </c>
      <c r="C37" s="21">
        <v>88.0</v>
      </c>
      <c r="D37" s="21">
        <v>72.0</v>
      </c>
      <c r="E37" s="21">
        <v>80.0</v>
      </c>
      <c r="F37" s="36" t="s">
        <v>119</v>
      </c>
      <c r="G37" s="25"/>
      <c r="H37" s="25"/>
      <c r="I37" s="27"/>
    </row>
    <row r="38" ht="14.25" customHeight="1">
      <c r="A38" s="77">
        <v>0.5104166666666666</v>
      </c>
      <c r="B38" s="21">
        <v>4148.0</v>
      </c>
      <c r="C38" s="21">
        <v>88.0</v>
      </c>
      <c r="D38" s="21">
        <v>72.0</v>
      </c>
      <c r="E38" s="21">
        <v>80.0</v>
      </c>
      <c r="F38" s="36" t="s">
        <v>111</v>
      </c>
      <c r="G38" s="25"/>
      <c r="H38" s="25"/>
      <c r="I38" s="27"/>
    </row>
    <row r="39" ht="14.25" customHeight="1">
      <c r="A39" s="77">
        <v>0.5208333333333334</v>
      </c>
      <c r="B39" s="21">
        <v>4151.0</v>
      </c>
      <c r="C39" s="21">
        <v>89.0</v>
      </c>
      <c r="D39" s="21">
        <v>72.0</v>
      </c>
      <c r="E39" s="21">
        <v>80.0</v>
      </c>
      <c r="F39" s="36" t="s">
        <v>111</v>
      </c>
      <c r="G39" s="25"/>
      <c r="H39" s="25"/>
      <c r="I39" s="27"/>
    </row>
    <row r="40" ht="14.25" customHeight="1">
      <c r="A40" s="77">
        <v>0.53125</v>
      </c>
      <c r="B40" s="21">
        <v>4158.0</v>
      </c>
      <c r="C40" s="21">
        <v>90.0</v>
      </c>
      <c r="D40" s="21">
        <v>72.0</v>
      </c>
      <c r="E40" s="21">
        <v>80.0</v>
      </c>
      <c r="F40" s="36" t="s">
        <v>111</v>
      </c>
      <c r="G40" s="25"/>
      <c r="H40" s="25"/>
      <c r="I40" s="27"/>
    </row>
    <row r="41" ht="14.25" customHeight="1">
      <c r="A41" s="77">
        <v>0.5416666666666666</v>
      </c>
      <c r="B41" s="21">
        <v>4146.0</v>
      </c>
      <c r="C41" s="21">
        <v>90.0</v>
      </c>
      <c r="D41" s="21">
        <v>72.0</v>
      </c>
      <c r="E41" s="21">
        <v>80.0</v>
      </c>
      <c r="F41" s="36" t="s">
        <v>122</v>
      </c>
      <c r="G41" s="25"/>
      <c r="H41" s="25"/>
      <c r="I41" s="27"/>
    </row>
    <row r="42" ht="14.25" customHeight="1">
      <c r="A42" s="77">
        <v>0.5520833333333334</v>
      </c>
      <c r="B42" s="21">
        <v>4150.0</v>
      </c>
      <c r="C42" s="21">
        <v>90.0</v>
      </c>
      <c r="D42" s="21">
        <v>72.0</v>
      </c>
      <c r="E42" s="21">
        <v>80.0</v>
      </c>
      <c r="F42" s="36" t="s">
        <v>123</v>
      </c>
      <c r="G42" s="25"/>
      <c r="H42" s="25"/>
      <c r="I42" s="27"/>
    </row>
    <row r="43" ht="14.25" customHeight="1">
      <c r="A43" s="77">
        <v>0.5625</v>
      </c>
      <c r="B43" s="21">
        <v>4153.0</v>
      </c>
      <c r="C43" s="21">
        <v>91.0</v>
      </c>
      <c r="D43" s="21">
        <v>72.0</v>
      </c>
      <c r="E43" s="21">
        <v>80.0</v>
      </c>
      <c r="F43" s="36" t="s">
        <v>123</v>
      </c>
      <c r="G43" s="25"/>
      <c r="H43" s="25"/>
      <c r="I43" s="27"/>
    </row>
    <row r="44" ht="14.25" customHeight="1">
      <c r="A44" s="77">
        <v>0.5729166666666666</v>
      </c>
      <c r="B44" s="21">
        <v>4157.0</v>
      </c>
      <c r="C44" s="21">
        <v>92.0</v>
      </c>
      <c r="D44" s="21">
        <v>72.0</v>
      </c>
      <c r="E44" s="21">
        <v>80.0</v>
      </c>
      <c r="F44" s="36" t="s">
        <v>123</v>
      </c>
      <c r="G44" s="25"/>
      <c r="H44" s="25"/>
      <c r="I44" s="27"/>
    </row>
    <row r="45" ht="14.25" customHeight="1">
      <c r="A45" s="77">
        <v>0.5833333333333334</v>
      </c>
      <c r="B45" s="21">
        <v>4158.0</v>
      </c>
      <c r="C45" s="21">
        <v>92.0</v>
      </c>
      <c r="D45" s="21">
        <v>72.0</v>
      </c>
      <c r="E45" s="21">
        <v>80.0</v>
      </c>
      <c r="F45" s="36" t="s">
        <v>111</v>
      </c>
      <c r="G45" s="25"/>
      <c r="H45" s="25"/>
      <c r="I45" s="27"/>
    </row>
    <row r="46" ht="14.25" customHeight="1">
      <c r="A46" s="77">
        <v>0.59375</v>
      </c>
      <c r="B46" s="21">
        <v>4158.0</v>
      </c>
      <c r="C46" s="21">
        <v>98.0</v>
      </c>
      <c r="D46" s="21">
        <v>72.0</v>
      </c>
      <c r="E46" s="21">
        <v>79.0</v>
      </c>
      <c r="F46" s="36" t="s">
        <v>111</v>
      </c>
      <c r="G46" s="25"/>
      <c r="H46" s="25"/>
      <c r="I46" s="27"/>
    </row>
    <row r="47" ht="14.25" customHeight="1">
      <c r="A47" s="77">
        <v>0.6041666666666666</v>
      </c>
      <c r="B47" s="21">
        <v>4156.0</v>
      </c>
      <c r="C47" s="21">
        <v>92.0</v>
      </c>
      <c r="D47" s="21">
        <v>72.0</v>
      </c>
      <c r="E47" s="21">
        <v>79.0</v>
      </c>
      <c r="F47" s="36" t="s">
        <v>111</v>
      </c>
      <c r="G47" s="25"/>
      <c r="H47" s="25"/>
      <c r="I47" s="27"/>
    </row>
    <row r="48" ht="14.25" customHeight="1">
      <c r="A48" s="77">
        <v>0.6145833333333334</v>
      </c>
      <c r="B48" s="21">
        <v>4155.0</v>
      </c>
      <c r="C48" s="21">
        <v>92.0</v>
      </c>
      <c r="D48" s="21">
        <v>72.0</v>
      </c>
      <c r="E48" s="21">
        <v>79.0</v>
      </c>
      <c r="F48" s="36" t="s">
        <v>111</v>
      </c>
      <c r="G48" s="25"/>
      <c r="H48" s="25"/>
      <c r="I48" s="27"/>
    </row>
    <row r="49" ht="14.25" customHeight="1">
      <c r="A49" s="24"/>
      <c r="B49" s="25"/>
      <c r="C49" s="25"/>
      <c r="D49" s="25"/>
      <c r="E49" s="25"/>
      <c r="F49" s="25"/>
      <c r="G49" s="25"/>
      <c r="H49" s="25"/>
      <c r="I49" s="27"/>
    </row>
    <row r="50" ht="14.25" customHeight="1">
      <c r="A50" s="46" t="s">
        <v>92</v>
      </c>
      <c r="B50" s="46" t="s">
        <v>93</v>
      </c>
      <c r="C50" s="46" t="s">
        <v>95</v>
      </c>
      <c r="D50" s="46" t="s">
        <v>96</v>
      </c>
      <c r="E50" s="46" t="s">
        <v>98</v>
      </c>
      <c r="F50" s="43" t="s">
        <v>99</v>
      </c>
      <c r="G50" s="25"/>
      <c r="H50" s="25"/>
      <c r="I50" s="27"/>
    </row>
    <row r="51" ht="14.25" customHeight="1">
      <c r="A51" s="82">
        <v>0.625</v>
      </c>
      <c r="B51" s="21">
        <v>4153.0</v>
      </c>
      <c r="C51" s="21">
        <v>90.0</v>
      </c>
      <c r="D51" s="21">
        <v>72.0</v>
      </c>
      <c r="E51" s="21">
        <v>79.0</v>
      </c>
      <c r="F51" s="36" t="s">
        <v>123</v>
      </c>
      <c r="G51" s="25"/>
      <c r="H51" s="25"/>
      <c r="I51" s="27"/>
    </row>
    <row r="52" ht="14.25" customHeight="1">
      <c r="A52" s="77">
        <v>0.6354166666666666</v>
      </c>
      <c r="B52" s="21">
        <v>4156.0</v>
      </c>
      <c r="C52" s="21">
        <v>92.0</v>
      </c>
      <c r="D52" s="21">
        <v>72.0</v>
      </c>
      <c r="E52" s="21">
        <v>79.0</v>
      </c>
      <c r="F52" s="36" t="s">
        <v>123</v>
      </c>
      <c r="G52" s="25"/>
      <c r="H52" s="25"/>
      <c r="I52" s="27"/>
    </row>
    <row r="53" ht="14.25" customHeight="1">
      <c r="A53" s="82">
        <v>0.6458333333333334</v>
      </c>
      <c r="B53" s="21">
        <v>4157.0</v>
      </c>
      <c r="C53" s="21">
        <v>92.0</v>
      </c>
      <c r="D53" s="21">
        <v>72.0</v>
      </c>
      <c r="E53" s="21">
        <v>79.0</v>
      </c>
      <c r="F53" s="36" t="s">
        <v>123</v>
      </c>
      <c r="G53" s="25"/>
      <c r="H53" s="25"/>
      <c r="I53" s="27"/>
    </row>
    <row r="54" ht="14.25" customHeight="1">
      <c r="A54" s="77">
        <v>0.65625</v>
      </c>
      <c r="B54" s="21">
        <v>4155.0</v>
      </c>
      <c r="C54" s="21">
        <v>90.0</v>
      </c>
      <c r="D54" s="21">
        <v>72.0</v>
      </c>
      <c r="E54" s="21">
        <v>79.0</v>
      </c>
      <c r="F54" s="36" t="s">
        <v>111</v>
      </c>
      <c r="G54" s="25"/>
      <c r="H54" s="25"/>
      <c r="I54" s="27"/>
    </row>
    <row r="55" ht="14.25" customHeight="1">
      <c r="A55" s="82">
        <v>0.6666666666666666</v>
      </c>
      <c r="B55" s="21">
        <v>4150.0</v>
      </c>
      <c r="C55" s="21">
        <v>92.0</v>
      </c>
      <c r="D55" s="21">
        <v>72.0</v>
      </c>
      <c r="E55" s="21">
        <v>79.0</v>
      </c>
      <c r="F55" s="36" t="s">
        <v>111</v>
      </c>
      <c r="G55" s="25"/>
      <c r="H55" s="25"/>
      <c r="I55" s="27"/>
    </row>
    <row r="56" ht="14.25" customHeight="1">
      <c r="A56" s="77">
        <v>0.6770833333333334</v>
      </c>
      <c r="B56" s="21">
        <v>4146.0</v>
      </c>
      <c r="C56" s="21">
        <v>90.0</v>
      </c>
      <c r="D56" s="21">
        <v>72.0</v>
      </c>
      <c r="E56" s="21">
        <v>80.0</v>
      </c>
      <c r="F56" s="36" t="s">
        <v>111</v>
      </c>
      <c r="G56" s="25"/>
      <c r="H56" s="25"/>
      <c r="I56" s="27"/>
    </row>
    <row r="57" ht="14.25" customHeight="1">
      <c r="A57" s="82">
        <v>0.6875</v>
      </c>
      <c r="B57" s="21">
        <v>4145.0</v>
      </c>
      <c r="C57" s="21">
        <v>90.0</v>
      </c>
      <c r="D57" s="21">
        <v>72.0</v>
      </c>
      <c r="E57" s="21">
        <v>80.0</v>
      </c>
      <c r="F57" s="36" t="s">
        <v>111</v>
      </c>
      <c r="G57" s="25"/>
      <c r="H57" s="25"/>
      <c r="I57" s="27"/>
    </row>
    <row r="58" ht="14.25" customHeight="1">
      <c r="A58" s="77">
        <v>0.6979166666666666</v>
      </c>
      <c r="B58" s="21">
        <v>4146.0</v>
      </c>
      <c r="C58" s="21">
        <v>90.0</v>
      </c>
      <c r="D58" s="21">
        <v>72.0</v>
      </c>
      <c r="E58" s="21">
        <v>80.0</v>
      </c>
      <c r="F58" s="36" t="s">
        <v>111</v>
      </c>
      <c r="G58" s="25"/>
      <c r="H58" s="25"/>
      <c r="I58" s="27"/>
    </row>
    <row r="59" ht="14.25" customHeight="1">
      <c r="A59" s="82">
        <v>0.7083333333333334</v>
      </c>
      <c r="B59" s="21">
        <v>4146.0</v>
      </c>
      <c r="C59" s="21">
        <v>90.0</v>
      </c>
      <c r="D59" s="21">
        <v>72.0</v>
      </c>
      <c r="E59" s="21">
        <v>80.0</v>
      </c>
      <c r="F59" s="36" t="s">
        <v>111</v>
      </c>
      <c r="G59" s="25"/>
      <c r="H59" s="25"/>
      <c r="I59" s="27"/>
    </row>
    <row r="60" ht="14.25" customHeight="1">
      <c r="A60" s="77">
        <v>0.71875</v>
      </c>
      <c r="B60" s="21">
        <v>4147.0</v>
      </c>
      <c r="C60" s="21">
        <v>92.0</v>
      </c>
      <c r="D60" s="21">
        <v>72.0</v>
      </c>
      <c r="E60" s="21">
        <v>80.0</v>
      </c>
      <c r="F60" s="36" t="s">
        <v>111</v>
      </c>
      <c r="G60" s="25"/>
      <c r="H60" s="25"/>
      <c r="I60" s="27"/>
    </row>
    <row r="61" ht="14.25" customHeight="1">
      <c r="A61" s="82">
        <v>0.7291666666666666</v>
      </c>
      <c r="B61" s="21">
        <v>4147.0</v>
      </c>
      <c r="C61" s="21">
        <v>91.0</v>
      </c>
      <c r="D61" s="21">
        <v>72.0</v>
      </c>
      <c r="E61" s="21">
        <v>80.0</v>
      </c>
      <c r="F61" s="36" t="s">
        <v>134</v>
      </c>
      <c r="G61" s="25"/>
      <c r="H61" s="25"/>
      <c r="I61" s="27"/>
    </row>
    <row r="62" ht="14.25" customHeight="1">
      <c r="A62" s="77">
        <v>0.7395833333333334</v>
      </c>
      <c r="B62" s="107">
        <v>4146.0</v>
      </c>
      <c r="C62" s="21">
        <v>90.0</v>
      </c>
      <c r="D62" s="21">
        <v>72.0</v>
      </c>
      <c r="E62" s="21">
        <v>80.0</v>
      </c>
      <c r="F62" s="36" t="s">
        <v>135</v>
      </c>
      <c r="G62" s="25"/>
      <c r="H62" s="25"/>
      <c r="I62" s="27"/>
    </row>
    <row r="63" ht="14.25" customHeight="1">
      <c r="A63" s="82"/>
      <c r="B63" s="107"/>
      <c r="C63" s="21"/>
      <c r="D63" s="21"/>
      <c r="E63" s="21"/>
      <c r="F63" s="36"/>
      <c r="G63" s="25"/>
      <c r="H63" s="25"/>
      <c r="I63" s="27"/>
    </row>
    <row r="64" ht="14.25" customHeight="1">
      <c r="A64" s="77"/>
      <c r="B64" s="21"/>
      <c r="C64" s="48"/>
      <c r="D64" s="48"/>
      <c r="E64" s="48"/>
      <c r="F64" s="36"/>
      <c r="G64" s="25"/>
      <c r="H64" s="25"/>
      <c r="I64" s="27"/>
    </row>
    <row r="65" ht="14.25" customHeight="1">
      <c r="A65" s="77"/>
      <c r="B65" s="21"/>
      <c r="C65" s="48"/>
      <c r="D65" s="48"/>
      <c r="E65" s="48"/>
      <c r="F65" s="36"/>
      <c r="G65" s="25"/>
      <c r="H65" s="25"/>
      <c r="I65" s="27"/>
    </row>
    <row r="66" ht="14.25" customHeight="1">
      <c r="A66" s="77"/>
      <c r="B66" s="107"/>
      <c r="C66" s="48"/>
      <c r="D66" s="48"/>
      <c r="E66" s="48"/>
      <c r="F66" s="36"/>
      <c r="G66" s="25"/>
      <c r="H66" s="25"/>
      <c r="I66" s="27"/>
    </row>
    <row r="67" ht="14.25" customHeight="1">
      <c r="A67" s="110"/>
      <c r="B67" s="48"/>
      <c r="C67" s="48"/>
      <c r="D67" s="48"/>
      <c r="E67" s="48"/>
      <c r="F67" s="112"/>
      <c r="G67" s="25"/>
      <c r="H67" s="25"/>
      <c r="I67" s="27"/>
    </row>
    <row r="68" ht="14.25" customHeight="1">
      <c r="A68" s="110"/>
      <c r="B68" s="48"/>
      <c r="C68" s="48"/>
      <c r="D68" s="48"/>
      <c r="E68" s="48"/>
      <c r="F68" s="112"/>
      <c r="G68" s="25"/>
      <c r="H68" s="25"/>
      <c r="I68" s="27"/>
    </row>
    <row r="69" ht="14.25" customHeight="1">
      <c r="A69" s="110"/>
      <c r="B69" s="48"/>
      <c r="C69" s="48"/>
      <c r="D69" s="48"/>
      <c r="E69" s="48"/>
      <c r="F69" s="112"/>
      <c r="G69" s="25"/>
      <c r="H69" s="25"/>
      <c r="I69" s="27"/>
    </row>
    <row r="70" ht="14.25" customHeight="1">
      <c r="A70" s="110"/>
      <c r="B70" s="48"/>
      <c r="C70" s="48"/>
      <c r="D70" s="48"/>
      <c r="E70" s="48"/>
      <c r="F70" s="112"/>
      <c r="G70" s="25"/>
      <c r="H70" s="25"/>
      <c r="I70" s="27"/>
    </row>
    <row r="71" ht="14.25" customHeight="1">
      <c r="A71" s="110"/>
      <c r="B71" s="48"/>
      <c r="C71" s="48"/>
      <c r="D71" s="48"/>
      <c r="E71" s="48"/>
      <c r="F71" s="112"/>
      <c r="G71" s="25"/>
      <c r="H71" s="25"/>
      <c r="I71" s="27"/>
    </row>
    <row r="72" ht="14.25" customHeight="1">
      <c r="A72" s="110"/>
      <c r="B72" s="48"/>
      <c r="C72" s="48"/>
      <c r="D72" s="48"/>
      <c r="E72" s="48"/>
      <c r="F72" s="112"/>
      <c r="G72" s="25"/>
      <c r="H72" s="25"/>
      <c r="I72" s="27"/>
    </row>
    <row r="73" ht="14.25" customHeight="1">
      <c r="A73" s="110"/>
      <c r="B73" s="48"/>
      <c r="C73" s="48"/>
      <c r="D73" s="48"/>
      <c r="E73" s="48"/>
      <c r="F73" s="112"/>
      <c r="G73" s="25"/>
      <c r="H73" s="25"/>
      <c r="I73" s="27"/>
    </row>
    <row r="74" ht="14.25" customHeight="1">
      <c r="A74" s="110"/>
      <c r="B74" s="48"/>
      <c r="C74" s="48"/>
      <c r="D74" s="48"/>
      <c r="E74" s="48"/>
      <c r="F74" s="112"/>
      <c r="G74" s="25"/>
      <c r="H74" s="25"/>
      <c r="I74" s="27"/>
    </row>
    <row r="75" ht="14.25" customHeight="1">
      <c r="A75" s="110"/>
      <c r="B75" s="48"/>
      <c r="C75" s="48"/>
      <c r="D75" s="48"/>
      <c r="E75" s="48"/>
      <c r="F75" s="112"/>
      <c r="G75" s="25"/>
      <c r="H75" s="25"/>
      <c r="I75" s="27"/>
    </row>
    <row r="76" ht="14.25" customHeight="1">
      <c r="A76" s="110"/>
      <c r="B76" s="48"/>
      <c r="C76" s="48"/>
      <c r="D76" s="48"/>
      <c r="E76" s="48"/>
      <c r="F76" s="112"/>
      <c r="G76" s="25"/>
      <c r="H76" s="25"/>
      <c r="I76" s="27"/>
    </row>
    <row r="77" ht="14.25" customHeight="1">
      <c r="A77" s="110"/>
      <c r="B77" s="48"/>
      <c r="C77" s="48"/>
      <c r="D77" s="48"/>
      <c r="E77" s="48"/>
      <c r="F77" s="112"/>
      <c r="G77" s="25"/>
      <c r="H77" s="25"/>
      <c r="I77" s="27"/>
    </row>
    <row r="78" ht="14.25" customHeight="1">
      <c r="A78" s="110"/>
      <c r="B78" s="48"/>
      <c r="C78" s="48"/>
      <c r="D78" s="48"/>
      <c r="E78" s="48"/>
      <c r="F78" s="112"/>
      <c r="G78" s="25"/>
      <c r="H78" s="25"/>
      <c r="I78" s="27"/>
    </row>
    <row r="79" ht="14.25" customHeight="1">
      <c r="A79" s="110"/>
      <c r="B79" s="48"/>
      <c r="C79" s="48"/>
      <c r="D79" s="48"/>
      <c r="E79" s="48"/>
      <c r="F79" s="112"/>
      <c r="G79" s="25"/>
      <c r="H79" s="25"/>
      <c r="I79" s="27"/>
    </row>
    <row r="80" ht="14.25" customHeight="1">
      <c r="A80" s="110"/>
      <c r="B80" s="48"/>
      <c r="C80" s="48"/>
      <c r="D80" s="48"/>
      <c r="E80" s="48"/>
      <c r="F80" s="112"/>
      <c r="G80" s="25"/>
      <c r="H80" s="25"/>
      <c r="I80" s="27"/>
    </row>
    <row r="81" ht="14.25" customHeight="1">
      <c r="A81" s="110"/>
      <c r="B81" s="48"/>
      <c r="C81" s="48"/>
      <c r="D81" s="48"/>
      <c r="E81" s="48"/>
      <c r="F81" s="112"/>
      <c r="G81" s="25"/>
      <c r="H81" s="25"/>
      <c r="I81" s="27"/>
    </row>
    <row r="82" ht="14.25" customHeight="1">
      <c r="A82" s="110"/>
      <c r="B82" s="48"/>
      <c r="C82" s="48"/>
      <c r="D82" s="48"/>
      <c r="E82" s="48"/>
      <c r="F82" s="112"/>
      <c r="G82" s="25"/>
      <c r="H82" s="25"/>
      <c r="I82" s="27"/>
    </row>
    <row r="83" ht="14.25" customHeight="1">
      <c r="A83" s="110"/>
      <c r="B83" s="48"/>
      <c r="C83" s="48"/>
      <c r="D83" s="48"/>
      <c r="E83" s="48"/>
      <c r="F83" s="112"/>
      <c r="G83" s="25"/>
      <c r="H83" s="25"/>
      <c r="I83" s="27"/>
    </row>
    <row r="84" ht="14.25" customHeight="1">
      <c r="A84" s="110"/>
      <c r="B84" s="48"/>
      <c r="C84" s="48"/>
      <c r="D84" s="48"/>
      <c r="E84" s="48"/>
      <c r="F84" s="112"/>
      <c r="G84" s="25"/>
      <c r="H84" s="25"/>
      <c r="I84" s="27"/>
    </row>
    <row r="85" ht="14.25" customHeight="1">
      <c r="A85" s="110"/>
      <c r="B85" s="48"/>
      <c r="C85" s="48"/>
      <c r="D85" s="48"/>
      <c r="E85" s="48"/>
      <c r="F85" s="112"/>
      <c r="G85" s="25"/>
      <c r="H85" s="25"/>
      <c r="I85" s="27"/>
    </row>
    <row r="86" ht="14.25" customHeight="1">
      <c r="A86" s="110"/>
      <c r="B86" s="48"/>
      <c r="C86" s="48"/>
      <c r="D86" s="48"/>
      <c r="E86" s="48"/>
      <c r="F86" s="112"/>
      <c r="G86" s="25"/>
      <c r="H86" s="25"/>
      <c r="I86" s="27"/>
    </row>
    <row r="87" ht="14.25" customHeight="1">
      <c r="A87" s="110"/>
      <c r="B87" s="48"/>
      <c r="C87" s="48"/>
      <c r="D87" s="48"/>
      <c r="E87" s="48"/>
      <c r="F87" s="112"/>
      <c r="G87" s="25"/>
      <c r="H87" s="25"/>
      <c r="I87" s="27"/>
    </row>
    <row r="88" ht="14.25" customHeight="1">
      <c r="A88" s="24" t="s">
        <v>142</v>
      </c>
      <c r="B88" s="27"/>
      <c r="C88" s="123"/>
      <c r="D88" s="25"/>
      <c r="E88" s="27"/>
      <c r="F88" s="124" t="s">
        <v>25</v>
      </c>
      <c r="G88" s="125"/>
      <c r="H88" s="25"/>
      <c r="I88" s="27"/>
    </row>
    <row r="89" ht="14.25" customHeight="1">
      <c r="A89" s="24" t="s">
        <v>143</v>
      </c>
      <c r="B89" s="27"/>
      <c r="C89" s="123"/>
      <c r="D89" s="25"/>
      <c r="E89" s="27"/>
      <c r="F89" s="124" t="s">
        <v>25</v>
      </c>
      <c r="G89" s="125"/>
      <c r="H89" s="25"/>
      <c r="I89" s="27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11">
    <mergeCell ref="G15:H15"/>
    <mergeCell ref="G16:H16"/>
    <mergeCell ref="A17:I17"/>
    <mergeCell ref="A18:C18"/>
    <mergeCell ref="E18:G18"/>
    <mergeCell ref="H18:I18"/>
    <mergeCell ref="B19:D19"/>
    <mergeCell ref="B20:D20"/>
    <mergeCell ref="E20:G20"/>
    <mergeCell ref="H20:I20"/>
    <mergeCell ref="A21:I21"/>
    <mergeCell ref="F22:I22"/>
    <mergeCell ref="F23:I23"/>
    <mergeCell ref="F24:I24"/>
    <mergeCell ref="C7:E7"/>
    <mergeCell ref="G7:I7"/>
    <mergeCell ref="F1:I1"/>
    <mergeCell ref="F2:I2"/>
    <mergeCell ref="F3:I3"/>
    <mergeCell ref="F4:I4"/>
    <mergeCell ref="F5:I5"/>
    <mergeCell ref="A6:I6"/>
    <mergeCell ref="A7:B7"/>
    <mergeCell ref="A8:B8"/>
    <mergeCell ref="C8:E8"/>
    <mergeCell ref="G8:I8"/>
    <mergeCell ref="A9:B9"/>
    <mergeCell ref="C9:E9"/>
    <mergeCell ref="G9:I9"/>
    <mergeCell ref="A10:I10"/>
    <mergeCell ref="A14:B14"/>
    <mergeCell ref="A15:B15"/>
    <mergeCell ref="A16:B16"/>
    <mergeCell ref="A11:B11"/>
    <mergeCell ref="G11:H11"/>
    <mergeCell ref="A12:B12"/>
    <mergeCell ref="G12:H12"/>
    <mergeCell ref="A13:B13"/>
    <mergeCell ref="G13:H13"/>
    <mergeCell ref="G14:H14"/>
    <mergeCell ref="E19:F19"/>
    <mergeCell ref="G19:I19"/>
    <mergeCell ref="F25:I25"/>
    <mergeCell ref="F26:I26"/>
    <mergeCell ref="F27:I27"/>
    <mergeCell ref="F28:I28"/>
    <mergeCell ref="F29:I29"/>
    <mergeCell ref="F30:I30"/>
    <mergeCell ref="F31:I31"/>
    <mergeCell ref="F74:I74"/>
    <mergeCell ref="F75:I75"/>
    <mergeCell ref="F76:I76"/>
    <mergeCell ref="F77:I77"/>
    <mergeCell ref="F78:I78"/>
    <mergeCell ref="F79:I79"/>
    <mergeCell ref="F80:I80"/>
    <mergeCell ref="F81:I81"/>
    <mergeCell ref="F82:I82"/>
    <mergeCell ref="F83:I83"/>
    <mergeCell ref="F84:I84"/>
    <mergeCell ref="F85:I85"/>
    <mergeCell ref="F86:I86"/>
    <mergeCell ref="F87:I87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A49:I49"/>
    <mergeCell ref="F50:I50"/>
    <mergeCell ref="F51:I51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F65:I65"/>
    <mergeCell ref="F66:I66"/>
    <mergeCell ref="F67:I67"/>
    <mergeCell ref="F68:I68"/>
    <mergeCell ref="F69:I69"/>
    <mergeCell ref="F70:I70"/>
    <mergeCell ref="F71:I71"/>
    <mergeCell ref="F72:I72"/>
    <mergeCell ref="F73:I73"/>
    <mergeCell ref="A88:B88"/>
    <mergeCell ref="C88:E88"/>
    <mergeCell ref="G88:I88"/>
    <mergeCell ref="A89:B89"/>
    <mergeCell ref="C89:E89"/>
    <mergeCell ref="G89:I89"/>
  </mergeCells>
  <hyperlinks>
    <hyperlink r:id="rId1" ref="F5"/>
  </hyperlinks>
  <printOptions/>
  <pageMargins bottom="0.75" footer="0.0" header="0.0" left="0.7" right="0.7" top="0.75"/>
  <pageSetup fitToHeight="0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2.0"/>
    <col customWidth="1" min="3" max="3" width="17.43"/>
    <col customWidth="1" min="4" max="4" width="12.71"/>
    <col customWidth="1" min="5" max="5" width="12.57"/>
    <col customWidth="1" min="6" max="6" width="14.14"/>
    <col customWidth="1" min="7" max="26" width="8.71"/>
  </cols>
  <sheetData>
    <row r="1" ht="14.25" customHeight="1">
      <c r="A1" s="1"/>
      <c r="B1" s="2"/>
      <c r="C1" s="2"/>
      <c r="D1" s="2"/>
      <c r="E1" s="2"/>
      <c r="F1" s="3" t="s">
        <v>0</v>
      </c>
      <c r="G1" s="4"/>
      <c r="H1" s="4"/>
      <c r="I1" s="5"/>
    </row>
    <row r="2" ht="14.25" customHeight="1">
      <c r="A2" s="6"/>
      <c r="F2" s="7" t="s">
        <v>1</v>
      </c>
      <c r="I2" s="8"/>
    </row>
    <row r="3" ht="14.25" customHeight="1">
      <c r="A3" s="6"/>
      <c r="F3" s="7" t="s">
        <v>2</v>
      </c>
      <c r="I3" s="8"/>
    </row>
    <row r="4" ht="14.25" customHeight="1">
      <c r="A4" s="6"/>
      <c r="F4" s="7" t="s">
        <v>3</v>
      </c>
      <c r="I4" s="8"/>
    </row>
    <row r="5" ht="14.25" customHeight="1">
      <c r="A5" s="9"/>
      <c r="B5" s="10"/>
      <c r="C5" s="10"/>
      <c r="D5" s="10"/>
      <c r="E5" s="10"/>
      <c r="F5" s="11" t="s">
        <v>4</v>
      </c>
      <c r="G5" s="12"/>
      <c r="H5" s="12"/>
      <c r="I5" s="13"/>
    </row>
    <row r="6" ht="14.25" customHeight="1"/>
    <row r="7" ht="14.25" customHeight="1"/>
    <row r="8" ht="14.25" customHeight="1">
      <c r="A8" s="14" t="s">
        <v>5</v>
      </c>
      <c r="B8" s="15">
        <v>2046.0</v>
      </c>
      <c r="C8" s="16" t="s">
        <v>6</v>
      </c>
      <c r="D8" s="17"/>
      <c r="E8" s="18"/>
      <c r="F8" s="18"/>
      <c r="G8" s="18"/>
      <c r="H8" s="18"/>
      <c r="I8" s="19"/>
    </row>
    <row r="9" ht="14.25" customHeight="1">
      <c r="A9" s="20" t="s">
        <v>7</v>
      </c>
      <c r="B9" s="21">
        <v>4.0</v>
      </c>
      <c r="C9" s="22" t="s">
        <v>9</v>
      </c>
      <c r="D9" s="23" t="s">
        <v>10</v>
      </c>
      <c r="E9" s="26"/>
      <c r="F9" s="26"/>
      <c r="G9" s="26" t="s">
        <v>11</v>
      </c>
      <c r="H9" s="26"/>
      <c r="I9" s="28"/>
    </row>
    <row r="10" ht="14.25" customHeight="1">
      <c r="A10" s="29" t="s">
        <v>13</v>
      </c>
      <c r="B10" s="15">
        <v>1367.0</v>
      </c>
      <c r="C10" s="31" t="s">
        <v>14</v>
      </c>
      <c r="D10" s="32"/>
      <c r="E10" s="37" t="str">
        <f>LOG!B19</f>
        <v>33.7132610, -98.1230730</v>
      </c>
      <c r="F10" s="38"/>
      <c r="G10" s="32"/>
      <c r="H10" s="39" t="str">
        <f>LOG!B20</f>
        <v>33.7180270, -98.1248640</v>
      </c>
      <c r="I10" s="38"/>
    </row>
    <row r="11" ht="14.25" customHeight="1">
      <c r="C11" s="40"/>
      <c r="E11" s="40"/>
    </row>
    <row r="12" ht="14.25" customHeight="1">
      <c r="A12" s="40" t="s">
        <v>22</v>
      </c>
    </row>
    <row r="13" ht="14.25" customHeight="1">
      <c r="A13" s="41" t="s">
        <v>24</v>
      </c>
      <c r="B13" s="41" t="s">
        <v>26</v>
      </c>
      <c r="C13" s="41" t="s">
        <v>27</v>
      </c>
      <c r="D13" s="41" t="s">
        <v>28</v>
      </c>
      <c r="E13" s="41" t="s">
        <v>29</v>
      </c>
      <c r="F13" s="41" t="s">
        <v>30</v>
      </c>
      <c r="G13" s="43" t="s">
        <v>31</v>
      </c>
      <c r="H13" s="25"/>
      <c r="I13" s="27"/>
    </row>
    <row r="14" ht="14.25" customHeight="1">
      <c r="A14" s="44" t="s">
        <v>32</v>
      </c>
      <c r="B14" s="45" t="s">
        <v>34</v>
      </c>
      <c r="C14" s="44" t="s">
        <v>36</v>
      </c>
      <c r="D14" s="44" t="s">
        <v>37</v>
      </c>
      <c r="E14" s="44" t="s">
        <v>38</v>
      </c>
      <c r="F14" s="44" t="s">
        <v>38</v>
      </c>
      <c r="G14" s="33"/>
      <c r="H14" s="25"/>
      <c r="I14" s="27"/>
    </row>
    <row r="15" ht="14.25" customHeight="1">
      <c r="A15" s="44" t="s">
        <v>32</v>
      </c>
      <c r="B15" s="45" t="s">
        <v>42</v>
      </c>
      <c r="C15" s="44" t="s">
        <v>43</v>
      </c>
      <c r="D15" s="44" t="s">
        <v>45</v>
      </c>
      <c r="E15" s="44" t="s">
        <v>38</v>
      </c>
      <c r="F15" s="44"/>
      <c r="G15" s="33"/>
      <c r="H15" s="25"/>
      <c r="I15" s="27"/>
    </row>
    <row r="16" ht="14.25" customHeight="1">
      <c r="A16" s="44"/>
      <c r="B16" s="45"/>
      <c r="C16" s="44"/>
      <c r="D16" s="44"/>
      <c r="E16" s="44"/>
      <c r="F16" s="44"/>
      <c r="G16" s="33"/>
      <c r="H16" s="25"/>
      <c r="I16" s="27"/>
    </row>
    <row r="17" ht="14.25" customHeight="1">
      <c r="A17" s="44"/>
      <c r="B17" s="45"/>
      <c r="C17" s="44"/>
      <c r="D17" s="44"/>
      <c r="E17" s="51"/>
      <c r="F17" s="44"/>
      <c r="G17" s="33"/>
      <c r="H17" s="25"/>
      <c r="I17" s="27"/>
    </row>
    <row r="18" ht="14.25" customHeight="1">
      <c r="A18" s="48"/>
      <c r="B18" s="53"/>
      <c r="C18" s="48"/>
      <c r="D18" s="48"/>
      <c r="E18" s="51"/>
      <c r="F18" s="48"/>
      <c r="G18" s="33"/>
      <c r="H18" s="25"/>
      <c r="I18" s="27"/>
    </row>
    <row r="19" ht="14.25" customHeight="1"/>
    <row r="20" ht="14.25" customHeight="1">
      <c r="A20" s="56" t="s">
        <v>55</v>
      </c>
    </row>
    <row r="21" ht="14.25" customHeight="1"/>
    <row r="22" ht="14.25" customHeight="1">
      <c r="A22" s="58" t="s">
        <v>59</v>
      </c>
      <c r="B22" s="27"/>
      <c r="C22" s="60" t="s">
        <v>64</v>
      </c>
      <c r="D22" s="12"/>
      <c r="E22" s="12"/>
      <c r="F22" s="12"/>
      <c r="G22" s="12"/>
      <c r="H22" s="12"/>
      <c r="I22" s="12"/>
    </row>
    <row r="23" ht="14.25" customHeight="1">
      <c r="A23" s="58" t="s">
        <v>66</v>
      </c>
      <c r="B23" s="27"/>
      <c r="C23" s="61" t="s">
        <v>68</v>
      </c>
      <c r="D23" s="25"/>
      <c r="E23" s="25"/>
      <c r="F23" s="25"/>
      <c r="G23" s="25"/>
      <c r="H23" s="25"/>
      <c r="I23" s="25"/>
    </row>
    <row r="24" ht="14.25" customHeight="1">
      <c r="A24" s="62" t="s">
        <v>71</v>
      </c>
      <c r="B24" s="63"/>
      <c r="C24" s="64" t="s">
        <v>73</v>
      </c>
      <c r="D24" s="12"/>
      <c r="E24" s="12"/>
      <c r="F24" s="12"/>
      <c r="G24" s="12"/>
      <c r="H24" s="12"/>
      <c r="I24" s="12"/>
    </row>
    <row r="25" ht="14.25" customHeight="1"/>
    <row r="26" ht="14.25" customHeight="1">
      <c r="A26" s="65" t="s">
        <v>75</v>
      </c>
      <c r="B26" s="27"/>
      <c r="C26" s="69">
        <f>MAX(LOG!B27:B61)</f>
        <v>4167</v>
      </c>
      <c r="D26" s="71" t="s">
        <v>79</v>
      </c>
      <c r="E26" s="74" t="s">
        <v>81</v>
      </c>
      <c r="F26" s="27"/>
      <c r="G26" s="69">
        <f>MIN(LOG!B27:B61)</f>
        <v>4145</v>
      </c>
      <c r="H26" s="71" t="s">
        <v>79</v>
      </c>
    </row>
    <row r="27" ht="14.25" customHeight="1"/>
    <row r="28" ht="14.25" customHeight="1">
      <c r="A28" s="56" t="s">
        <v>89</v>
      </c>
    </row>
    <row r="29" ht="14.25" customHeight="1"/>
    <row r="30" ht="14.25" customHeight="1">
      <c r="C30" s="43" t="s">
        <v>91</v>
      </c>
      <c r="D30" s="25"/>
      <c r="E30" s="25"/>
      <c r="F30" s="27"/>
    </row>
    <row r="31" ht="14.25" customHeight="1">
      <c r="C31" s="46" t="s">
        <v>93</v>
      </c>
      <c r="D31" s="43" t="s">
        <v>97</v>
      </c>
      <c r="E31" s="25"/>
      <c r="F31" s="27"/>
    </row>
    <row r="32" ht="14.25" customHeight="1">
      <c r="C32" s="46" t="s">
        <v>79</v>
      </c>
      <c r="D32" s="46" t="s">
        <v>95</v>
      </c>
      <c r="E32" s="46" t="s">
        <v>96</v>
      </c>
      <c r="F32" s="46" t="s">
        <v>98</v>
      </c>
    </row>
    <row r="33" ht="14.25" customHeight="1">
      <c r="A33" s="79" t="s">
        <v>75</v>
      </c>
      <c r="B33" s="81"/>
      <c r="C33" s="21">
        <f>C26</f>
        <v>4167</v>
      </c>
      <c r="D33" s="83">
        <f>MAX(LOG!C27:C61)</f>
        <v>98</v>
      </c>
      <c r="E33" s="83">
        <f>MAX(LOG!D27:D61)</f>
        <v>72</v>
      </c>
      <c r="F33" s="83">
        <f>MAX(LOG!E27:E61)</f>
        <v>83</v>
      </c>
    </row>
    <row r="34" ht="14.25" customHeight="1">
      <c r="A34" s="79" t="s">
        <v>81</v>
      </c>
      <c r="B34" s="81"/>
      <c r="C34" s="21">
        <f>G26</f>
        <v>4145</v>
      </c>
      <c r="D34" s="83">
        <f>MIN(LOG!C27:C61)</f>
        <v>76</v>
      </c>
      <c r="E34" s="83">
        <f>MIN(LOG!D27:D61)</f>
        <v>72</v>
      </c>
      <c r="F34" s="83">
        <f>MIN(LOG!E27:E61)</f>
        <v>79</v>
      </c>
    </row>
    <row r="35" ht="14.25" customHeight="1"/>
    <row r="36" ht="14.25" customHeight="1">
      <c r="C36" s="85" t="s">
        <v>113</v>
      </c>
      <c r="D36" s="25"/>
      <c r="E36" s="25"/>
      <c r="F36" s="27"/>
    </row>
    <row r="37" ht="14.25" customHeight="1">
      <c r="C37" s="86" t="s">
        <v>114</v>
      </c>
      <c r="D37" s="86" t="s">
        <v>115</v>
      </c>
      <c r="E37" s="87" t="s">
        <v>116</v>
      </c>
    </row>
    <row r="38" ht="14.25" customHeight="1">
      <c r="B38" s="88" t="s">
        <v>117</v>
      </c>
      <c r="C38" s="91">
        <f>LOG!A27</f>
        <v>0.3958333333</v>
      </c>
      <c r="D38" s="93">
        <f>LOG!G9</f>
        <v>46263</v>
      </c>
      <c r="E38" s="94">
        <f>LOG!B27</f>
        <v>4160</v>
      </c>
    </row>
    <row r="39" ht="14.25" customHeight="1">
      <c r="B39" s="88"/>
      <c r="C39" s="95" t="s">
        <v>114</v>
      </c>
      <c r="D39" s="95" t="s">
        <v>115</v>
      </c>
      <c r="E39" s="95" t="s">
        <v>120</v>
      </c>
    </row>
    <row r="40" ht="14.25" customHeight="1">
      <c r="B40" s="88" t="s">
        <v>121</v>
      </c>
      <c r="C40" s="91">
        <f>LOG!A61</f>
        <v>0.7291666667</v>
      </c>
      <c r="D40" s="93">
        <f>LOG!G9</f>
        <v>46263</v>
      </c>
      <c r="E40" s="94">
        <f>LOG!B61</f>
        <v>4147</v>
      </c>
    </row>
    <row r="41" ht="14.25" customHeight="1"/>
    <row r="42" ht="14.25" customHeight="1">
      <c r="A42" s="97" t="s">
        <v>125</v>
      </c>
      <c r="B42" s="98"/>
      <c r="C42" s="99"/>
      <c r="D42" s="100" t="s">
        <v>126</v>
      </c>
      <c r="E42" s="100"/>
      <c r="F42" s="100" t="s">
        <v>115</v>
      </c>
      <c r="G42" s="100"/>
      <c r="H42" s="100"/>
      <c r="I42" s="101"/>
    </row>
    <row r="43" ht="14.25" customHeight="1">
      <c r="A43" s="102" t="s">
        <v>127</v>
      </c>
      <c r="B43" s="27"/>
      <c r="C43" s="10"/>
      <c r="D43" s="10"/>
      <c r="E43" s="10"/>
      <c r="F43" s="10"/>
      <c r="I43" s="103"/>
    </row>
    <row r="44" ht="14.25" customHeight="1">
      <c r="A44" s="102" t="s">
        <v>128</v>
      </c>
      <c r="B44" s="27"/>
      <c r="C44" s="10"/>
      <c r="D44" s="10"/>
      <c r="E44" s="10"/>
      <c r="F44" s="10"/>
      <c r="I44" s="103"/>
    </row>
    <row r="45" ht="14.25" customHeight="1">
      <c r="A45" s="102" t="s">
        <v>129</v>
      </c>
      <c r="B45" s="27"/>
      <c r="C45" s="10"/>
      <c r="D45" s="10"/>
      <c r="E45" s="10"/>
      <c r="F45" s="10"/>
      <c r="I45" s="103"/>
    </row>
    <row r="46" ht="14.25" customHeight="1">
      <c r="A46" s="104"/>
      <c r="B46" s="105"/>
      <c r="C46" s="105"/>
      <c r="D46" s="105"/>
      <c r="E46" s="105"/>
      <c r="F46" s="105"/>
      <c r="G46" s="105"/>
      <c r="H46" s="105"/>
      <c r="I46" s="106"/>
    </row>
    <row r="47" ht="14.25" customHeight="1"/>
    <row r="48" ht="14.25" customHeight="1"/>
    <row r="49" ht="14.25" customHeight="1">
      <c r="A49" s="40"/>
      <c r="B49" s="40"/>
      <c r="C49" s="40"/>
      <c r="D49" s="40"/>
      <c r="E49" s="40"/>
      <c r="F49" s="40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>
      <c r="A87" s="40"/>
      <c r="C87" s="40"/>
      <c r="G87" s="40"/>
    </row>
    <row r="88" ht="14.25" customHeight="1">
      <c r="A88" s="40"/>
      <c r="C88" s="40"/>
      <c r="G88" s="40"/>
    </row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F1:I1"/>
    <mergeCell ref="F2:I2"/>
    <mergeCell ref="F3:I3"/>
    <mergeCell ref="F4:I4"/>
    <mergeCell ref="F5:I5"/>
    <mergeCell ref="A12:I12"/>
    <mergeCell ref="G13:I13"/>
    <mergeCell ref="G14:I14"/>
    <mergeCell ref="G15:I15"/>
    <mergeCell ref="G16:I16"/>
    <mergeCell ref="G17:I17"/>
    <mergeCell ref="G18:I18"/>
    <mergeCell ref="A22:B22"/>
    <mergeCell ref="C22:I22"/>
    <mergeCell ref="C36:F36"/>
    <mergeCell ref="F49:I49"/>
    <mergeCell ref="A23:B23"/>
    <mergeCell ref="C23:I23"/>
    <mergeCell ref="A24:B24"/>
    <mergeCell ref="C24:I24"/>
    <mergeCell ref="E26:F26"/>
    <mergeCell ref="C30:F30"/>
    <mergeCell ref="D31:F31"/>
    <mergeCell ref="A87:B87"/>
    <mergeCell ref="C87:E87"/>
    <mergeCell ref="G87:I87"/>
    <mergeCell ref="A88:B88"/>
    <mergeCell ref="C88:E88"/>
    <mergeCell ref="G88:I88"/>
    <mergeCell ref="A26:B26"/>
    <mergeCell ref="A33:B33"/>
    <mergeCell ref="A34:B34"/>
    <mergeCell ref="A42:B42"/>
    <mergeCell ref="A43:B43"/>
    <mergeCell ref="A44:B44"/>
    <mergeCell ref="A45:B45"/>
  </mergeCells>
  <hyperlinks>
    <hyperlink r:id="rId1" ref="F5"/>
  </hyperlinks>
  <printOptions/>
  <pageMargins bottom="0.75" footer="0.0" header="0.0" left="0.7" right="0.7" top="0.75"/>
  <pageSetup fitToHeight="0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7" width="9.29"/>
    <col customWidth="1" min="8" max="8" width="12.29"/>
    <col customWidth="1" min="9" max="10" width="9.29"/>
    <col customWidth="1" min="11" max="11" width="12.43"/>
    <col customWidth="1" min="12" max="12" width="11.29"/>
    <col customWidth="1" min="13" max="13" width="17.57"/>
    <col customWidth="1" min="14" max="14" width="10.29"/>
    <col customWidth="1" min="15" max="26" width="9.29"/>
  </cols>
  <sheetData>
    <row r="1" ht="14.25" customHeight="1">
      <c r="A1" s="35"/>
      <c r="B1" s="35"/>
      <c r="C1" s="35"/>
      <c r="D1" s="35"/>
      <c r="E1" s="35"/>
      <c r="F1" s="3"/>
      <c r="G1" s="4"/>
      <c r="H1" s="4"/>
      <c r="I1" s="4"/>
      <c r="J1" s="2"/>
      <c r="K1" s="2"/>
      <c r="L1" s="2"/>
      <c r="M1" s="2"/>
      <c r="N1" s="2"/>
      <c r="O1" s="16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4.25" customHeight="1">
      <c r="A2" s="35"/>
      <c r="B2" s="35"/>
      <c r="C2" s="35"/>
      <c r="D2" s="35"/>
      <c r="E2" s="35"/>
      <c r="F2" s="7"/>
      <c r="J2" s="35"/>
      <c r="K2" s="35"/>
      <c r="L2" s="35"/>
      <c r="M2" s="35"/>
      <c r="N2" s="35"/>
      <c r="O2" s="22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14.25" customHeight="1">
      <c r="A3" s="35"/>
      <c r="B3" s="35"/>
      <c r="C3" s="35"/>
      <c r="D3" s="35"/>
      <c r="E3" s="35"/>
      <c r="F3" s="7"/>
      <c r="J3" s="35"/>
      <c r="K3" s="35"/>
      <c r="L3" s="35"/>
      <c r="M3" s="35"/>
      <c r="N3" s="35"/>
      <c r="O3" s="22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4.25" customHeight="1">
      <c r="A4" s="35"/>
      <c r="B4" s="35"/>
      <c r="C4" s="35"/>
      <c r="D4" s="35"/>
      <c r="E4" s="35"/>
      <c r="F4" s="7"/>
      <c r="J4" s="35"/>
      <c r="K4" s="35"/>
      <c r="L4" s="35"/>
      <c r="M4" s="35"/>
      <c r="N4" s="35"/>
      <c r="O4" s="22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4.25" customHeight="1">
      <c r="A5" s="50" t="s">
        <v>46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7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3.5" customHeight="1">
      <c r="A6" s="54" t="s">
        <v>53</v>
      </c>
      <c r="B6" s="55"/>
      <c r="C6" s="57" t="s">
        <v>56</v>
      </c>
      <c r="D6" s="25"/>
      <c r="E6" s="25"/>
      <c r="F6" s="25"/>
      <c r="G6" s="25"/>
      <c r="H6" s="25"/>
      <c r="I6" s="27"/>
      <c r="J6" s="59" t="s">
        <v>61</v>
      </c>
      <c r="K6" s="67">
        <f>LOG!G7</f>
        <v>180.64635</v>
      </c>
      <c r="L6" s="25"/>
      <c r="M6" s="25"/>
      <c r="N6" s="25"/>
      <c r="O6" s="27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13.5" customHeight="1">
      <c r="A7" s="72" t="s">
        <v>80</v>
      </c>
      <c r="B7" s="73"/>
      <c r="C7" s="67" t="s">
        <v>82</v>
      </c>
      <c r="D7" s="25"/>
      <c r="E7" s="25"/>
      <c r="F7" s="25"/>
      <c r="G7" s="25"/>
      <c r="H7" s="25"/>
      <c r="I7" s="27"/>
      <c r="J7" s="75" t="s">
        <v>85</v>
      </c>
      <c r="K7" s="76" t="s">
        <v>88</v>
      </c>
      <c r="L7" s="4"/>
      <c r="M7" s="4"/>
      <c r="N7" s="4"/>
      <c r="O7" s="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13.5" customHeight="1">
      <c r="A8" s="72" t="s">
        <v>94</v>
      </c>
      <c r="B8" s="73"/>
      <c r="C8" s="67" t="s">
        <v>100</v>
      </c>
      <c r="D8" s="25"/>
      <c r="E8" s="25"/>
      <c r="F8" s="25"/>
      <c r="G8" s="25"/>
      <c r="H8" s="25"/>
      <c r="I8" s="27"/>
      <c r="J8" s="78"/>
      <c r="K8" s="80"/>
      <c r="L8" s="12"/>
      <c r="M8" s="12"/>
      <c r="N8" s="12"/>
      <c r="O8" s="13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3.5" customHeight="1">
      <c r="A9" s="72" t="s">
        <v>103</v>
      </c>
      <c r="B9" s="73"/>
      <c r="C9" s="67" t="s">
        <v>105</v>
      </c>
      <c r="D9" s="25"/>
      <c r="E9" s="25"/>
      <c r="F9" s="25"/>
      <c r="G9" s="25"/>
      <c r="H9" s="25"/>
      <c r="I9" s="27"/>
      <c r="J9" s="59" t="s">
        <v>107</v>
      </c>
      <c r="K9" s="67" t="str">
        <f>LOG!G8</f>
        <v>Henrietta, Tx</v>
      </c>
      <c r="L9" s="25"/>
      <c r="M9" s="25"/>
      <c r="N9" s="25"/>
      <c r="O9" s="27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4.25" customHeight="1">
      <c r="A10" s="84" t="str">
        <f>Summary!D14</f>
        <v>2039'</v>
      </c>
      <c r="B10" s="25"/>
      <c r="C10" s="27"/>
      <c r="D10" s="84" t="str">
        <f>Summary!A14</f>
        <v>4.5"</v>
      </c>
      <c r="E10" s="27"/>
      <c r="F10" s="84" t="str">
        <f>Summary!B14</f>
        <v>0.237"</v>
      </c>
      <c r="G10" s="27"/>
      <c r="H10" s="84" t="str">
        <f>Summary!C14</f>
        <v>x42</v>
      </c>
      <c r="I10" s="27"/>
      <c r="J10" s="90" t="s">
        <v>118</v>
      </c>
      <c r="K10" s="25"/>
      <c r="L10" s="27"/>
      <c r="M10" s="92">
        <v>150.0</v>
      </c>
      <c r="N10" s="25"/>
      <c r="O10" s="27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14.25" customHeight="1">
      <c r="A11" s="84" t="str">
        <f>Summary!D15</f>
        <v>6.5'</v>
      </c>
      <c r="B11" s="25"/>
      <c r="C11" s="27"/>
      <c r="D11" s="84" t="str">
        <f>Summary!A15</f>
        <v>4.5"</v>
      </c>
      <c r="E11" s="27"/>
      <c r="F11" s="96" t="str">
        <f>Summary!B15</f>
        <v>0.337"</v>
      </c>
      <c r="G11" s="27"/>
      <c r="H11" s="84" t="str">
        <f>Summary!C15</f>
        <v>x52</v>
      </c>
      <c r="I11" s="27"/>
      <c r="J11" s="90" t="s">
        <v>124</v>
      </c>
      <c r="K11" s="25"/>
      <c r="L11" s="27"/>
      <c r="M11" s="92">
        <v>136.0</v>
      </c>
      <c r="N11" s="25"/>
      <c r="O11" s="27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4.25" customHeight="1">
      <c r="A12" s="84" t="str">
        <f>Summary!D16</f>
        <v/>
      </c>
      <c r="B12" s="25"/>
      <c r="C12" s="27"/>
      <c r="D12" s="84" t="str">
        <f>Summary!A16</f>
        <v/>
      </c>
      <c r="E12" s="27"/>
      <c r="F12" s="84" t="str">
        <f>Summary!B16</f>
        <v/>
      </c>
      <c r="G12" s="27"/>
      <c r="H12" s="84" t="str">
        <f>Summary!C16</f>
        <v/>
      </c>
      <c r="I12" s="27"/>
      <c r="J12" s="90" t="s">
        <v>130</v>
      </c>
      <c r="K12" s="25"/>
      <c r="L12" s="27"/>
      <c r="M12" s="92">
        <v>3100.0</v>
      </c>
      <c r="N12" s="25"/>
      <c r="O12" s="27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14.25" customHeight="1">
      <c r="A13" s="84" t="str">
        <f>Summary!D17</f>
        <v/>
      </c>
      <c r="B13" s="25"/>
      <c r="C13" s="27"/>
      <c r="D13" s="84" t="str">
        <f>Summary!A17</f>
        <v/>
      </c>
      <c r="E13" s="27"/>
      <c r="F13" s="96" t="str">
        <f>Summary!B17</f>
        <v/>
      </c>
      <c r="G13" s="27"/>
      <c r="H13" s="84" t="str">
        <f>Summary!C17</f>
        <v/>
      </c>
      <c r="I13" s="27"/>
      <c r="J13" s="90" t="s">
        <v>131</v>
      </c>
      <c r="K13" s="25"/>
      <c r="L13" s="27"/>
      <c r="M13" s="92">
        <v>4160.0</v>
      </c>
      <c r="N13" s="25"/>
      <c r="O13" s="27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14.25" customHeight="1">
      <c r="A14" s="84"/>
      <c r="B14" s="25"/>
      <c r="C14" s="27"/>
      <c r="D14" s="84"/>
      <c r="E14" s="27"/>
      <c r="F14" s="84"/>
      <c r="G14" s="27"/>
      <c r="H14" s="84"/>
      <c r="I14" s="27"/>
      <c r="J14" s="90" t="s">
        <v>132</v>
      </c>
      <c r="K14" s="25"/>
      <c r="L14" s="27"/>
      <c r="M14" s="92">
        <v>10.0</v>
      </c>
      <c r="N14" s="25"/>
      <c r="O14" s="27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14.25" customHeight="1">
      <c r="A15" s="84"/>
      <c r="B15" s="25"/>
      <c r="C15" s="27"/>
      <c r="D15" s="84"/>
      <c r="E15" s="27"/>
      <c r="F15" s="84"/>
      <c r="G15" s="27"/>
      <c r="H15" s="84"/>
      <c r="I15" s="27"/>
      <c r="J15" s="90" t="s">
        <v>133</v>
      </c>
      <c r="K15" s="25"/>
      <c r="L15" s="27"/>
      <c r="M15" s="92">
        <v>106.0</v>
      </c>
      <c r="N15" s="25"/>
      <c r="O15" s="27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16.5" customHeight="1">
      <c r="A16" s="86" t="s">
        <v>76</v>
      </c>
      <c r="B16" s="108" t="str">
        <f>Summary!E10</f>
        <v>33.7132610, -98.1230730</v>
      </c>
      <c r="C16" s="12"/>
      <c r="D16" s="12"/>
      <c r="E16" s="13"/>
      <c r="F16" s="109" t="s">
        <v>83</v>
      </c>
      <c r="G16" s="111" t="str">
        <f>Summary!H10</f>
        <v>33.7180270, -98.1248640</v>
      </c>
      <c r="H16" s="25"/>
      <c r="I16" s="27"/>
      <c r="J16" s="90" t="s">
        <v>136</v>
      </c>
      <c r="K16" s="25"/>
      <c r="L16" s="27"/>
      <c r="M16" s="92">
        <v>0.0043</v>
      </c>
      <c r="N16" s="25"/>
      <c r="O16" s="27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16.5" customHeight="1">
      <c r="A17" s="34" t="s">
        <v>76</v>
      </c>
      <c r="B17" s="33"/>
      <c r="C17" s="25"/>
      <c r="D17" s="25"/>
      <c r="E17" s="27"/>
      <c r="F17" s="109" t="s">
        <v>83</v>
      </c>
      <c r="G17" s="111"/>
      <c r="H17" s="25"/>
      <c r="I17" s="27"/>
      <c r="J17" s="90" t="s">
        <v>137</v>
      </c>
      <c r="K17" s="25"/>
      <c r="L17" s="27"/>
      <c r="M17" s="36">
        <v>0.06076</v>
      </c>
      <c r="N17" s="25"/>
      <c r="O17" s="27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5.75" customHeight="1">
      <c r="A18" s="34" t="s">
        <v>76</v>
      </c>
      <c r="B18" s="33"/>
      <c r="C18" s="25"/>
      <c r="D18" s="25"/>
      <c r="E18" s="27"/>
      <c r="F18" s="109" t="s">
        <v>83</v>
      </c>
      <c r="G18" s="111"/>
      <c r="H18" s="25"/>
      <c r="I18" s="27"/>
      <c r="J18" s="90" t="s">
        <v>138</v>
      </c>
      <c r="K18" s="25"/>
      <c r="L18" s="27"/>
      <c r="M18" s="36">
        <v>0.08239</v>
      </c>
      <c r="N18" s="25"/>
      <c r="O18" s="27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4.25" customHeight="1">
      <c r="A19" s="113" t="s">
        <v>139</v>
      </c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4.25" customHeight="1">
      <c r="A20" s="116" t="s">
        <v>93</v>
      </c>
      <c r="B20" s="117" t="s">
        <v>140</v>
      </c>
      <c r="C20" s="118" t="s">
        <v>141</v>
      </c>
      <c r="D20" s="116" t="s">
        <v>93</v>
      </c>
      <c r="E20" s="117" t="s">
        <v>140</v>
      </c>
      <c r="F20" s="118" t="s">
        <v>141</v>
      </c>
      <c r="G20" s="116" t="s">
        <v>93</v>
      </c>
      <c r="H20" s="117" t="s">
        <v>140</v>
      </c>
      <c r="I20" s="118" t="s">
        <v>141</v>
      </c>
      <c r="J20" s="116" t="s">
        <v>93</v>
      </c>
      <c r="K20" s="117" t="s">
        <v>140</v>
      </c>
      <c r="L20" s="118" t="s">
        <v>141</v>
      </c>
      <c r="M20" s="116" t="s">
        <v>93</v>
      </c>
      <c r="N20" s="117" t="s">
        <v>140</v>
      </c>
      <c r="O20" s="118" t="s">
        <v>141</v>
      </c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4.25" customHeight="1">
      <c r="A21" s="119">
        <v>3100.0</v>
      </c>
      <c r="B21" s="120">
        <v>0.0</v>
      </c>
      <c r="C21" s="121">
        <v>0.0</v>
      </c>
      <c r="D21" s="122">
        <v>3390.0</v>
      </c>
      <c r="E21" s="120">
        <v>516.0</v>
      </c>
      <c r="F21" s="126">
        <f>IF(ISBLANK(D21),NA(),E21-B49)</f>
        <v>19</v>
      </c>
      <c r="G21" s="127">
        <v>3680.0</v>
      </c>
      <c r="H21" s="120">
        <v>1021.0</v>
      </c>
      <c r="I21" s="126">
        <f>IF(ISBLANK(G21),NA(),H21-E49)</f>
        <v>16</v>
      </c>
      <c r="J21" s="127">
        <v>3970.0</v>
      </c>
      <c r="K21" s="120">
        <v>1709.0</v>
      </c>
      <c r="L21" s="126">
        <f>IF(ISBLANK(J21),NA(),K21-H49)</f>
        <v>21</v>
      </c>
      <c r="M21" s="128"/>
      <c r="N21" s="129"/>
      <c r="O21" s="126" t="str">
        <f>IF(ISBLANK(M21),NA(),N21-K49)</f>
        <v>#N/A</v>
      </c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4.25" customHeight="1">
      <c r="A22" s="130">
        <v>3110.0</v>
      </c>
      <c r="B22" s="21">
        <v>10.0</v>
      </c>
      <c r="C22" s="131">
        <f t="shared" ref="C22:C49" si="1">IF(ISBLANK(A22),NA(),B22-B21)</f>
        <v>10</v>
      </c>
      <c r="D22" s="122">
        <v>3400.0</v>
      </c>
      <c r="E22" s="21">
        <v>535.0</v>
      </c>
      <c r="F22" s="131">
        <f t="shared" ref="F22:F49" si="2">IF(ISBLANK(D22),NA(),E22-E21)</f>
        <v>19</v>
      </c>
      <c r="G22" s="127">
        <v>3690.0</v>
      </c>
      <c r="H22" s="21">
        <v>1037.0</v>
      </c>
      <c r="I22" s="131">
        <f t="shared" ref="I22:I49" si="3">IF(ISBLANK(G22),NA(),H22-H21)</f>
        <v>16</v>
      </c>
      <c r="J22" s="127">
        <v>3980.0</v>
      </c>
      <c r="K22" s="21">
        <v>1731.0</v>
      </c>
      <c r="L22" s="131">
        <f t="shared" ref="L22:L49" si="4">IF(ISBLANK(J22),NA(),K22-K21)</f>
        <v>22</v>
      </c>
      <c r="M22" s="128"/>
      <c r="N22" s="48"/>
      <c r="O22" s="131" t="str">
        <f t="shared" ref="O22:O49" si="5">IF(ISBLANK(M22),NA(),N22-N21)</f>
        <v>#N/A</v>
      </c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4.25" customHeight="1">
      <c r="A23" s="119">
        <v>3120.0</v>
      </c>
      <c r="B23" s="21">
        <v>24.0</v>
      </c>
      <c r="C23" s="131">
        <f t="shared" si="1"/>
        <v>14</v>
      </c>
      <c r="D23" s="127">
        <v>3410.0</v>
      </c>
      <c r="E23" s="21">
        <v>554.0</v>
      </c>
      <c r="F23" s="131">
        <f t="shared" si="2"/>
        <v>19</v>
      </c>
      <c r="G23" s="127">
        <v>3700.0</v>
      </c>
      <c r="H23" s="21">
        <v>1054.0</v>
      </c>
      <c r="I23" s="131">
        <f t="shared" si="3"/>
        <v>17</v>
      </c>
      <c r="J23" s="127">
        <v>3990.0</v>
      </c>
      <c r="K23" s="21">
        <v>1751.0</v>
      </c>
      <c r="L23" s="131">
        <f t="shared" si="4"/>
        <v>20</v>
      </c>
      <c r="M23" s="128"/>
      <c r="N23" s="48"/>
      <c r="O23" s="131" t="str">
        <f t="shared" si="5"/>
        <v>#N/A</v>
      </c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4.25" customHeight="1">
      <c r="A24" s="130">
        <v>3130.0</v>
      </c>
      <c r="B24" s="21">
        <v>39.0</v>
      </c>
      <c r="C24" s="131">
        <f t="shared" si="1"/>
        <v>15</v>
      </c>
      <c r="D24" s="127">
        <v>3420.0</v>
      </c>
      <c r="E24" s="21">
        <v>570.0</v>
      </c>
      <c r="F24" s="131">
        <f t="shared" si="2"/>
        <v>16</v>
      </c>
      <c r="G24" s="127">
        <v>3710.0</v>
      </c>
      <c r="H24" s="21">
        <v>1071.0</v>
      </c>
      <c r="I24" s="131">
        <f t="shared" si="3"/>
        <v>17</v>
      </c>
      <c r="J24" s="127">
        <v>4000.0</v>
      </c>
      <c r="K24" s="21">
        <v>1772.0</v>
      </c>
      <c r="L24" s="131">
        <f t="shared" si="4"/>
        <v>21</v>
      </c>
      <c r="M24" s="128"/>
      <c r="N24" s="48"/>
      <c r="O24" s="131" t="str">
        <f t="shared" si="5"/>
        <v>#N/A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4.25" customHeight="1">
      <c r="A25" s="119">
        <v>3140.0</v>
      </c>
      <c r="B25" s="21">
        <v>56.0</v>
      </c>
      <c r="C25" s="131">
        <f t="shared" si="1"/>
        <v>17</v>
      </c>
      <c r="D25" s="127">
        <v>3430.0</v>
      </c>
      <c r="E25" s="21">
        <v>587.0</v>
      </c>
      <c r="F25" s="131">
        <f t="shared" si="2"/>
        <v>17</v>
      </c>
      <c r="G25" s="127">
        <v>3720.0</v>
      </c>
      <c r="H25" s="21">
        <v>1100.0</v>
      </c>
      <c r="I25" s="131">
        <f t="shared" si="3"/>
        <v>29</v>
      </c>
      <c r="J25" s="127">
        <v>4010.0</v>
      </c>
      <c r="K25" s="21">
        <v>1789.0</v>
      </c>
      <c r="L25" s="131">
        <f t="shared" si="4"/>
        <v>17</v>
      </c>
      <c r="M25" s="128"/>
      <c r="N25" s="48"/>
      <c r="O25" s="131" t="str">
        <f t="shared" si="5"/>
        <v>#N/A</v>
      </c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4.25" customHeight="1">
      <c r="A26" s="130">
        <v>3150.0</v>
      </c>
      <c r="B26" s="21">
        <v>72.0</v>
      </c>
      <c r="C26" s="131">
        <f t="shared" si="1"/>
        <v>16</v>
      </c>
      <c r="D26" s="127">
        <v>3440.0</v>
      </c>
      <c r="E26" s="21">
        <v>605.0</v>
      </c>
      <c r="F26" s="131">
        <f t="shared" si="2"/>
        <v>18</v>
      </c>
      <c r="G26" s="127">
        <v>3730.0</v>
      </c>
      <c r="H26" s="21">
        <v>1128.0</v>
      </c>
      <c r="I26" s="131">
        <f t="shared" si="3"/>
        <v>28</v>
      </c>
      <c r="J26" s="127">
        <v>4020.0</v>
      </c>
      <c r="K26" s="21">
        <v>1804.0</v>
      </c>
      <c r="L26" s="131">
        <f t="shared" si="4"/>
        <v>15</v>
      </c>
      <c r="M26" s="128"/>
      <c r="N26" s="48"/>
      <c r="O26" s="131" t="str">
        <f t="shared" si="5"/>
        <v>#N/A</v>
      </c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4.25" customHeight="1">
      <c r="A27" s="119">
        <v>3160.0</v>
      </c>
      <c r="B27" s="21">
        <v>88.0</v>
      </c>
      <c r="C27" s="131">
        <f t="shared" si="1"/>
        <v>16</v>
      </c>
      <c r="D27" s="127">
        <v>3450.0</v>
      </c>
      <c r="E27" s="21">
        <v>621.0</v>
      </c>
      <c r="F27" s="131">
        <f t="shared" si="2"/>
        <v>16</v>
      </c>
      <c r="G27" s="127">
        <v>3740.0</v>
      </c>
      <c r="H27" s="21">
        <v>1152.0</v>
      </c>
      <c r="I27" s="131">
        <f t="shared" si="3"/>
        <v>24</v>
      </c>
      <c r="J27" s="127">
        <v>4030.0</v>
      </c>
      <c r="K27" s="21">
        <v>1814.0</v>
      </c>
      <c r="L27" s="131">
        <f t="shared" si="4"/>
        <v>10</v>
      </c>
      <c r="M27" s="128"/>
      <c r="N27" s="48"/>
      <c r="O27" s="131" t="str">
        <f t="shared" si="5"/>
        <v>#N/A</v>
      </c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4.25" customHeight="1">
      <c r="A28" s="130">
        <v>3170.0</v>
      </c>
      <c r="B28" s="21">
        <v>106.0</v>
      </c>
      <c r="C28" s="131">
        <f t="shared" si="1"/>
        <v>18</v>
      </c>
      <c r="D28" s="127">
        <v>3460.0</v>
      </c>
      <c r="E28" s="21">
        <v>637.0</v>
      </c>
      <c r="F28" s="131">
        <f t="shared" si="2"/>
        <v>16</v>
      </c>
      <c r="G28" s="127">
        <v>3750.0</v>
      </c>
      <c r="H28" s="21">
        <v>1178.0</v>
      </c>
      <c r="I28" s="131">
        <f t="shared" si="3"/>
        <v>26</v>
      </c>
      <c r="J28" s="127">
        <v>4040.0</v>
      </c>
      <c r="K28" s="21">
        <v>1830.0</v>
      </c>
      <c r="L28" s="131">
        <f t="shared" si="4"/>
        <v>16</v>
      </c>
      <c r="M28" s="128"/>
      <c r="N28" s="48"/>
      <c r="O28" s="131" t="str">
        <f t="shared" si="5"/>
        <v>#N/A</v>
      </c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4.25" customHeight="1">
      <c r="A29" s="119">
        <v>3180.0</v>
      </c>
      <c r="B29" s="21">
        <v>123.0</v>
      </c>
      <c r="C29" s="131">
        <f t="shared" si="1"/>
        <v>17</v>
      </c>
      <c r="D29" s="127">
        <v>3470.0</v>
      </c>
      <c r="E29" s="21">
        <v>654.0</v>
      </c>
      <c r="F29" s="131">
        <f t="shared" si="2"/>
        <v>17</v>
      </c>
      <c r="G29" s="127">
        <v>3760.0</v>
      </c>
      <c r="H29" s="21">
        <v>1209.0</v>
      </c>
      <c r="I29" s="131">
        <f t="shared" si="3"/>
        <v>31</v>
      </c>
      <c r="J29" s="127">
        <v>4050.0</v>
      </c>
      <c r="K29" s="21">
        <v>1854.0</v>
      </c>
      <c r="L29" s="131">
        <f t="shared" si="4"/>
        <v>24</v>
      </c>
      <c r="M29" s="128"/>
      <c r="N29" s="48"/>
      <c r="O29" s="131" t="str">
        <f t="shared" si="5"/>
        <v>#N/A</v>
      </c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4.25" customHeight="1">
      <c r="A30" s="130">
        <v>3190.0</v>
      </c>
      <c r="B30" s="21">
        <v>140.0</v>
      </c>
      <c r="C30" s="131">
        <f t="shared" si="1"/>
        <v>17</v>
      </c>
      <c r="D30" s="127">
        <v>3480.0</v>
      </c>
      <c r="E30" s="21">
        <v>671.0</v>
      </c>
      <c r="F30" s="131">
        <f t="shared" si="2"/>
        <v>17</v>
      </c>
      <c r="G30" s="127">
        <v>3770.0</v>
      </c>
      <c r="H30" s="21">
        <v>1231.0</v>
      </c>
      <c r="I30" s="131">
        <f t="shared" si="3"/>
        <v>22</v>
      </c>
      <c r="J30" s="127">
        <v>4060.0</v>
      </c>
      <c r="K30" s="21">
        <v>1865.0</v>
      </c>
      <c r="L30" s="131">
        <f t="shared" si="4"/>
        <v>11</v>
      </c>
      <c r="M30" s="128"/>
      <c r="N30" s="48"/>
      <c r="O30" s="131" t="str">
        <f t="shared" si="5"/>
        <v>#N/A</v>
      </c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4.25" customHeight="1">
      <c r="A31" s="119">
        <v>3200.0</v>
      </c>
      <c r="B31" s="21">
        <v>158.0</v>
      </c>
      <c r="C31" s="131">
        <f t="shared" si="1"/>
        <v>18</v>
      </c>
      <c r="D31" s="127">
        <v>3490.0</v>
      </c>
      <c r="E31" s="21">
        <v>687.0</v>
      </c>
      <c r="F31" s="131">
        <f t="shared" si="2"/>
        <v>16</v>
      </c>
      <c r="G31" s="127">
        <v>3780.0</v>
      </c>
      <c r="H31" s="21">
        <v>1266.0</v>
      </c>
      <c r="I31" s="131">
        <f t="shared" si="3"/>
        <v>35</v>
      </c>
      <c r="J31" s="127">
        <v>4070.0</v>
      </c>
      <c r="K31" s="21">
        <v>1880.0</v>
      </c>
      <c r="L31" s="131">
        <f t="shared" si="4"/>
        <v>15</v>
      </c>
      <c r="M31" s="128"/>
      <c r="N31" s="48"/>
      <c r="O31" s="131" t="str">
        <f t="shared" si="5"/>
        <v>#N/A</v>
      </c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4.25" customHeight="1">
      <c r="A32" s="130">
        <v>3210.0</v>
      </c>
      <c r="B32" s="21">
        <v>175.0</v>
      </c>
      <c r="C32" s="131">
        <f t="shared" si="1"/>
        <v>17</v>
      </c>
      <c r="D32" s="127">
        <v>3500.0</v>
      </c>
      <c r="E32" s="21">
        <v>707.0</v>
      </c>
      <c r="F32" s="131">
        <f t="shared" si="2"/>
        <v>20</v>
      </c>
      <c r="G32" s="127">
        <v>3790.0</v>
      </c>
      <c r="H32" s="21">
        <v>1309.0</v>
      </c>
      <c r="I32" s="131">
        <f t="shared" si="3"/>
        <v>43</v>
      </c>
      <c r="J32" s="127">
        <v>4080.0</v>
      </c>
      <c r="K32" s="21">
        <v>1896.0</v>
      </c>
      <c r="L32" s="131">
        <f t="shared" si="4"/>
        <v>16</v>
      </c>
      <c r="M32" s="128"/>
      <c r="N32" s="48"/>
      <c r="O32" s="131" t="str">
        <f t="shared" si="5"/>
        <v>#N/A</v>
      </c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4.25" customHeight="1">
      <c r="A33" s="119">
        <v>3220.0</v>
      </c>
      <c r="B33" s="21">
        <v>194.0</v>
      </c>
      <c r="C33" s="131">
        <f t="shared" si="1"/>
        <v>19</v>
      </c>
      <c r="D33" s="127">
        <v>3510.0</v>
      </c>
      <c r="E33" s="21">
        <v>727.0</v>
      </c>
      <c r="F33" s="131">
        <f t="shared" si="2"/>
        <v>20</v>
      </c>
      <c r="G33" s="127">
        <v>3800.0</v>
      </c>
      <c r="H33" s="21">
        <v>1358.0</v>
      </c>
      <c r="I33" s="131">
        <f t="shared" si="3"/>
        <v>49</v>
      </c>
      <c r="J33" s="127">
        <v>4090.0</v>
      </c>
      <c r="K33" s="21">
        <v>1911.0</v>
      </c>
      <c r="L33" s="131">
        <f t="shared" si="4"/>
        <v>15</v>
      </c>
      <c r="M33" s="128"/>
      <c r="N33" s="48"/>
      <c r="O33" s="131" t="str">
        <f t="shared" si="5"/>
        <v>#N/A</v>
      </c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4.25" customHeight="1">
      <c r="A34" s="130">
        <v>3230.0</v>
      </c>
      <c r="B34" s="21">
        <v>212.0</v>
      </c>
      <c r="C34" s="131">
        <f t="shared" si="1"/>
        <v>18</v>
      </c>
      <c r="D34" s="127">
        <v>3520.0</v>
      </c>
      <c r="E34" s="21">
        <v>745.0</v>
      </c>
      <c r="F34" s="131">
        <f t="shared" si="2"/>
        <v>18</v>
      </c>
      <c r="G34" s="127">
        <v>3810.0</v>
      </c>
      <c r="H34" s="21">
        <v>1379.0</v>
      </c>
      <c r="I34" s="131">
        <f t="shared" si="3"/>
        <v>21</v>
      </c>
      <c r="J34" s="127">
        <v>4100.0</v>
      </c>
      <c r="K34" s="21">
        <v>1928.0</v>
      </c>
      <c r="L34" s="131">
        <f t="shared" si="4"/>
        <v>17</v>
      </c>
      <c r="M34" s="128"/>
      <c r="N34" s="48"/>
      <c r="O34" s="131" t="str">
        <f t="shared" si="5"/>
        <v>#N/A</v>
      </c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4.25" customHeight="1">
      <c r="A35" s="119">
        <v>3240.0</v>
      </c>
      <c r="B35" s="21">
        <v>231.0</v>
      </c>
      <c r="C35" s="131">
        <f t="shared" si="1"/>
        <v>19</v>
      </c>
      <c r="D35" s="127">
        <v>3530.0</v>
      </c>
      <c r="E35" s="21">
        <v>763.0</v>
      </c>
      <c r="F35" s="131">
        <f t="shared" si="2"/>
        <v>18</v>
      </c>
      <c r="G35" s="127">
        <v>3820.0</v>
      </c>
      <c r="H35" s="21">
        <v>1398.0</v>
      </c>
      <c r="I35" s="131">
        <f t="shared" si="3"/>
        <v>19</v>
      </c>
      <c r="J35" s="127">
        <v>4110.0</v>
      </c>
      <c r="K35" s="21">
        <v>1946.0</v>
      </c>
      <c r="L35" s="131">
        <f t="shared" si="4"/>
        <v>18</v>
      </c>
      <c r="M35" s="128"/>
      <c r="N35" s="48"/>
      <c r="O35" s="131" t="str">
        <f t="shared" si="5"/>
        <v>#N/A</v>
      </c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4.25" customHeight="1">
      <c r="A36" s="130">
        <v>3250.0</v>
      </c>
      <c r="B36" s="21">
        <v>250.0</v>
      </c>
      <c r="C36" s="131">
        <f t="shared" si="1"/>
        <v>19</v>
      </c>
      <c r="D36" s="127">
        <v>3540.0</v>
      </c>
      <c r="E36" s="21">
        <v>782.0</v>
      </c>
      <c r="F36" s="131">
        <f t="shared" si="2"/>
        <v>19</v>
      </c>
      <c r="G36" s="127">
        <v>3830.0</v>
      </c>
      <c r="H36" s="21">
        <v>1417.0</v>
      </c>
      <c r="I36" s="131">
        <f t="shared" si="3"/>
        <v>19</v>
      </c>
      <c r="J36" s="127">
        <v>4120.0</v>
      </c>
      <c r="K36" s="21">
        <v>1966.0</v>
      </c>
      <c r="L36" s="131">
        <f t="shared" si="4"/>
        <v>20</v>
      </c>
      <c r="M36" s="128"/>
      <c r="N36" s="48"/>
      <c r="O36" s="131" t="str">
        <f t="shared" si="5"/>
        <v>#N/A</v>
      </c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4.25" customHeight="1">
      <c r="A37" s="119">
        <v>3260.0</v>
      </c>
      <c r="B37" s="21">
        <v>268.0</v>
      </c>
      <c r="C37" s="131">
        <f t="shared" si="1"/>
        <v>18</v>
      </c>
      <c r="D37" s="127">
        <v>3550.0</v>
      </c>
      <c r="E37" s="21">
        <v>800.0</v>
      </c>
      <c r="F37" s="131">
        <f t="shared" si="2"/>
        <v>18</v>
      </c>
      <c r="G37" s="127">
        <v>3840.0</v>
      </c>
      <c r="H37" s="21">
        <v>1438.0</v>
      </c>
      <c r="I37" s="131">
        <f t="shared" si="3"/>
        <v>21</v>
      </c>
      <c r="J37" s="127">
        <v>4130.0</v>
      </c>
      <c r="K37" s="21">
        <v>1983.0</v>
      </c>
      <c r="L37" s="131">
        <f t="shared" si="4"/>
        <v>17</v>
      </c>
      <c r="M37" s="128"/>
      <c r="N37" s="48"/>
      <c r="O37" s="131" t="str">
        <f t="shared" si="5"/>
        <v>#N/A</v>
      </c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4.25" customHeight="1">
      <c r="A38" s="130">
        <v>3270.0</v>
      </c>
      <c r="B38" s="21">
        <v>294.0</v>
      </c>
      <c r="C38" s="131">
        <f t="shared" si="1"/>
        <v>26</v>
      </c>
      <c r="D38" s="127">
        <v>3560.0</v>
      </c>
      <c r="E38" s="21">
        <v>821.0</v>
      </c>
      <c r="F38" s="131">
        <f t="shared" si="2"/>
        <v>21</v>
      </c>
      <c r="G38" s="127">
        <v>3850.0</v>
      </c>
      <c r="H38" s="21">
        <v>1455.0</v>
      </c>
      <c r="I38" s="131">
        <f t="shared" si="3"/>
        <v>17</v>
      </c>
      <c r="J38" s="127">
        <v>4140.0</v>
      </c>
      <c r="K38" s="21">
        <v>1999.0</v>
      </c>
      <c r="L38" s="131">
        <f t="shared" si="4"/>
        <v>16</v>
      </c>
      <c r="M38" s="128"/>
      <c r="N38" s="48"/>
      <c r="O38" s="131" t="str">
        <f t="shared" si="5"/>
        <v>#N/A</v>
      </c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4.25" customHeight="1">
      <c r="A39" s="119">
        <v>3280.0</v>
      </c>
      <c r="B39" s="21">
        <v>307.0</v>
      </c>
      <c r="C39" s="131">
        <f t="shared" si="1"/>
        <v>13</v>
      </c>
      <c r="D39" s="127">
        <v>3570.0</v>
      </c>
      <c r="E39" s="21">
        <v>837.0</v>
      </c>
      <c r="F39" s="131">
        <f t="shared" si="2"/>
        <v>16</v>
      </c>
      <c r="G39" s="127">
        <v>3860.0</v>
      </c>
      <c r="H39" s="21">
        <v>1478.0</v>
      </c>
      <c r="I39" s="131">
        <f t="shared" si="3"/>
        <v>23</v>
      </c>
      <c r="J39" s="127">
        <v>4150.0</v>
      </c>
      <c r="K39" s="21">
        <v>2014.0</v>
      </c>
      <c r="L39" s="131">
        <f t="shared" si="4"/>
        <v>15</v>
      </c>
      <c r="M39" s="128"/>
      <c r="N39" s="48"/>
      <c r="O39" s="131" t="str">
        <f t="shared" si="5"/>
        <v>#N/A</v>
      </c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4.25" customHeight="1">
      <c r="A40" s="130">
        <v>3290.0</v>
      </c>
      <c r="B40" s="21">
        <v>327.0</v>
      </c>
      <c r="C40" s="131">
        <f t="shared" si="1"/>
        <v>20</v>
      </c>
      <c r="D40" s="127">
        <v>3580.0</v>
      </c>
      <c r="E40" s="21">
        <v>854.0</v>
      </c>
      <c r="F40" s="131">
        <f t="shared" si="2"/>
        <v>17</v>
      </c>
      <c r="G40" s="127">
        <v>3870.0</v>
      </c>
      <c r="H40" s="21">
        <v>1499.0</v>
      </c>
      <c r="I40" s="131">
        <f t="shared" si="3"/>
        <v>21</v>
      </c>
      <c r="J40" s="127">
        <v>4160.0</v>
      </c>
      <c r="K40" s="21">
        <v>2031.0</v>
      </c>
      <c r="L40" s="131">
        <f t="shared" si="4"/>
        <v>17</v>
      </c>
      <c r="M40" s="128"/>
      <c r="N40" s="48"/>
      <c r="O40" s="131" t="str">
        <f t="shared" si="5"/>
        <v>#N/A</v>
      </c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4.25" customHeight="1">
      <c r="A41" s="119">
        <v>3300.0</v>
      </c>
      <c r="B41" s="21">
        <v>344.0</v>
      </c>
      <c r="C41" s="131">
        <f t="shared" si="1"/>
        <v>17</v>
      </c>
      <c r="D41" s="127">
        <v>3590.0</v>
      </c>
      <c r="E41" s="21">
        <v>871.0</v>
      </c>
      <c r="F41" s="131">
        <f t="shared" si="2"/>
        <v>17</v>
      </c>
      <c r="G41" s="127">
        <v>3880.0</v>
      </c>
      <c r="H41" s="21">
        <v>1519.0</v>
      </c>
      <c r="I41" s="131">
        <f t="shared" si="3"/>
        <v>20</v>
      </c>
      <c r="J41" s="128"/>
      <c r="K41" s="48"/>
      <c r="L41" s="131" t="str">
        <f t="shared" si="4"/>
        <v>#N/A</v>
      </c>
      <c r="M41" s="128"/>
      <c r="N41" s="48"/>
      <c r="O41" s="131" t="str">
        <f t="shared" si="5"/>
        <v>#N/A</v>
      </c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4.25" customHeight="1">
      <c r="A42" s="130">
        <v>3310.0</v>
      </c>
      <c r="B42" s="21">
        <v>364.0</v>
      </c>
      <c r="C42" s="131">
        <f t="shared" si="1"/>
        <v>20</v>
      </c>
      <c r="D42" s="127">
        <v>3600.0</v>
      </c>
      <c r="E42" s="21">
        <v>888.0</v>
      </c>
      <c r="F42" s="131">
        <f t="shared" si="2"/>
        <v>17</v>
      </c>
      <c r="G42" s="127">
        <v>3890.0</v>
      </c>
      <c r="H42" s="21">
        <v>1541.0</v>
      </c>
      <c r="I42" s="131">
        <f t="shared" si="3"/>
        <v>22</v>
      </c>
      <c r="J42" s="128"/>
      <c r="K42" s="48"/>
      <c r="L42" s="131" t="str">
        <f t="shared" si="4"/>
        <v>#N/A</v>
      </c>
      <c r="M42" s="128"/>
      <c r="N42" s="48"/>
      <c r="O42" s="131" t="str">
        <f t="shared" si="5"/>
        <v>#N/A</v>
      </c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4.25" customHeight="1">
      <c r="A43" s="119">
        <v>3320.0</v>
      </c>
      <c r="B43" s="21">
        <v>382.0</v>
      </c>
      <c r="C43" s="131">
        <f t="shared" si="1"/>
        <v>18</v>
      </c>
      <c r="D43" s="127">
        <v>3610.0</v>
      </c>
      <c r="E43" s="21">
        <v>904.0</v>
      </c>
      <c r="F43" s="131">
        <f t="shared" si="2"/>
        <v>16</v>
      </c>
      <c r="G43" s="127">
        <v>3900.0</v>
      </c>
      <c r="H43" s="21">
        <v>1560.0</v>
      </c>
      <c r="I43" s="131">
        <f t="shared" si="3"/>
        <v>19</v>
      </c>
      <c r="J43" s="128"/>
      <c r="K43" s="48"/>
      <c r="L43" s="131" t="str">
        <f t="shared" si="4"/>
        <v>#N/A</v>
      </c>
      <c r="M43" s="128"/>
      <c r="N43" s="48"/>
      <c r="O43" s="131" t="str">
        <f t="shared" si="5"/>
        <v>#N/A</v>
      </c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4.25" customHeight="1">
      <c r="A44" s="130">
        <v>3330.0</v>
      </c>
      <c r="B44" s="21">
        <v>401.0</v>
      </c>
      <c r="C44" s="131">
        <f t="shared" si="1"/>
        <v>19</v>
      </c>
      <c r="D44" s="127">
        <v>3620.0</v>
      </c>
      <c r="E44" s="21">
        <v>921.0</v>
      </c>
      <c r="F44" s="131">
        <f t="shared" si="2"/>
        <v>17</v>
      </c>
      <c r="G44" s="127">
        <v>3910.0</v>
      </c>
      <c r="H44" s="21">
        <v>1579.0</v>
      </c>
      <c r="I44" s="131">
        <f t="shared" si="3"/>
        <v>19</v>
      </c>
      <c r="J44" s="128"/>
      <c r="K44" s="48"/>
      <c r="L44" s="131" t="str">
        <f t="shared" si="4"/>
        <v>#N/A</v>
      </c>
      <c r="M44" s="128"/>
      <c r="N44" s="48"/>
      <c r="O44" s="131" t="str">
        <f t="shared" si="5"/>
        <v>#N/A</v>
      </c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4.25" customHeight="1">
      <c r="A45" s="119">
        <v>3340.0</v>
      </c>
      <c r="B45" s="21">
        <v>419.0</v>
      </c>
      <c r="C45" s="131">
        <f t="shared" si="1"/>
        <v>18</v>
      </c>
      <c r="D45" s="127">
        <v>3630.0</v>
      </c>
      <c r="E45" s="21">
        <v>938.0</v>
      </c>
      <c r="F45" s="131">
        <f t="shared" si="2"/>
        <v>17</v>
      </c>
      <c r="G45" s="127">
        <v>3920.0</v>
      </c>
      <c r="H45" s="21">
        <v>1603.0</v>
      </c>
      <c r="I45" s="131">
        <f t="shared" si="3"/>
        <v>24</v>
      </c>
      <c r="J45" s="128"/>
      <c r="K45" s="48"/>
      <c r="L45" s="131" t="str">
        <f t="shared" si="4"/>
        <v>#N/A</v>
      </c>
      <c r="M45" s="128"/>
      <c r="N45" s="48"/>
      <c r="O45" s="131" t="str">
        <f t="shared" si="5"/>
        <v>#N/A</v>
      </c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4.25" customHeight="1">
      <c r="A46" s="130">
        <v>3350.0</v>
      </c>
      <c r="B46" s="21">
        <v>439.0</v>
      </c>
      <c r="C46" s="131">
        <f t="shared" si="1"/>
        <v>20</v>
      </c>
      <c r="D46" s="127">
        <v>3640.0</v>
      </c>
      <c r="E46" s="21">
        <v>954.0</v>
      </c>
      <c r="F46" s="131">
        <f t="shared" si="2"/>
        <v>16</v>
      </c>
      <c r="G46" s="127">
        <v>3930.0</v>
      </c>
      <c r="H46" s="21">
        <v>1627.0</v>
      </c>
      <c r="I46" s="131">
        <f t="shared" si="3"/>
        <v>24</v>
      </c>
      <c r="J46" s="128"/>
      <c r="K46" s="48"/>
      <c r="L46" s="131" t="str">
        <f t="shared" si="4"/>
        <v>#N/A</v>
      </c>
      <c r="M46" s="128"/>
      <c r="N46" s="48"/>
      <c r="O46" s="131" t="str">
        <f t="shared" si="5"/>
        <v>#N/A</v>
      </c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4.25" customHeight="1">
      <c r="A47" s="119">
        <v>3360.0</v>
      </c>
      <c r="B47" s="21">
        <v>458.0</v>
      </c>
      <c r="C47" s="131">
        <f t="shared" si="1"/>
        <v>19</v>
      </c>
      <c r="D47" s="127">
        <v>3650.0</v>
      </c>
      <c r="E47" s="21">
        <v>972.0</v>
      </c>
      <c r="F47" s="131">
        <f t="shared" si="2"/>
        <v>18</v>
      </c>
      <c r="G47" s="127">
        <v>3940.0</v>
      </c>
      <c r="H47" s="21">
        <v>1648.0</v>
      </c>
      <c r="I47" s="131">
        <f t="shared" si="3"/>
        <v>21</v>
      </c>
      <c r="J47" s="128"/>
      <c r="K47" s="48"/>
      <c r="L47" s="131" t="str">
        <f t="shared" si="4"/>
        <v>#N/A</v>
      </c>
      <c r="M47" s="128"/>
      <c r="N47" s="48"/>
      <c r="O47" s="131" t="str">
        <f t="shared" si="5"/>
        <v>#N/A</v>
      </c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4.25" customHeight="1">
      <c r="A48" s="130">
        <v>3370.0</v>
      </c>
      <c r="B48" s="21">
        <v>479.0</v>
      </c>
      <c r="C48" s="131">
        <f t="shared" si="1"/>
        <v>21</v>
      </c>
      <c r="D48" s="127">
        <v>3660.0</v>
      </c>
      <c r="E48" s="21">
        <v>987.0</v>
      </c>
      <c r="F48" s="131">
        <f t="shared" si="2"/>
        <v>15</v>
      </c>
      <c r="G48" s="127">
        <v>3950.0</v>
      </c>
      <c r="H48" s="21">
        <v>1667.0</v>
      </c>
      <c r="I48" s="131">
        <f t="shared" si="3"/>
        <v>19</v>
      </c>
      <c r="J48" s="128"/>
      <c r="K48" s="48"/>
      <c r="L48" s="131" t="str">
        <f t="shared" si="4"/>
        <v>#N/A</v>
      </c>
      <c r="M48" s="128"/>
      <c r="N48" s="48"/>
      <c r="O48" s="131" t="str">
        <f t="shared" si="5"/>
        <v>#N/A</v>
      </c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4.25" customHeight="1">
      <c r="A49" s="119">
        <v>3380.0</v>
      </c>
      <c r="B49" s="132">
        <v>497.0</v>
      </c>
      <c r="C49" s="133">
        <f t="shared" si="1"/>
        <v>18</v>
      </c>
      <c r="D49" s="127">
        <v>3670.0</v>
      </c>
      <c r="E49" s="21">
        <v>1005.0</v>
      </c>
      <c r="F49" s="133">
        <f t="shared" si="2"/>
        <v>18</v>
      </c>
      <c r="G49" s="127">
        <v>3960.0</v>
      </c>
      <c r="H49" s="21">
        <v>1688.0</v>
      </c>
      <c r="I49" s="133">
        <f t="shared" si="3"/>
        <v>21</v>
      </c>
      <c r="J49" s="128"/>
      <c r="K49" s="48"/>
      <c r="L49" s="133" t="str">
        <f t="shared" si="4"/>
        <v>#N/A</v>
      </c>
      <c r="M49" s="128"/>
      <c r="N49" s="48"/>
      <c r="O49" s="133" t="str">
        <f t="shared" si="5"/>
        <v>#N/A</v>
      </c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4.2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4.25" customHeight="1">
      <c r="A51" s="43" t="s">
        <v>144</v>
      </c>
      <c r="B51" s="25"/>
      <c r="C51" s="27"/>
      <c r="D51" s="36">
        <v>8.7333</v>
      </c>
      <c r="E51" s="25"/>
      <c r="F51" s="25"/>
      <c r="G51" s="38"/>
      <c r="H51" s="134" t="s">
        <v>145</v>
      </c>
      <c r="I51" s="135"/>
      <c r="J51" s="36">
        <v>1060.0</v>
      </c>
      <c r="K51" s="27"/>
      <c r="L51" s="134" t="s">
        <v>146</v>
      </c>
      <c r="M51" s="135"/>
      <c r="N51" s="39" t="s">
        <v>147</v>
      </c>
      <c r="O51" s="27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4.25" customHeight="1">
      <c r="A52" s="134" t="s">
        <v>148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7"/>
      <c r="M52" s="33">
        <f>M18</f>
        <v>0.08239</v>
      </c>
      <c r="N52" s="25"/>
      <c r="O52" s="27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4.2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4.25" customHeight="1">
      <c r="A54" s="35"/>
      <c r="B54" s="10" t="s">
        <v>149</v>
      </c>
      <c r="C54" s="10"/>
      <c r="D54" s="10"/>
      <c r="E54" s="10"/>
      <c r="F54" s="10"/>
      <c r="G54" s="35"/>
      <c r="H54" s="35"/>
      <c r="I54" s="88" t="s">
        <v>38</v>
      </c>
      <c r="J54" s="10"/>
      <c r="K54" s="10"/>
      <c r="L54" s="10"/>
      <c r="M54" s="10"/>
      <c r="N54" s="10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4.25" customHeight="1">
      <c r="A55" s="35"/>
      <c r="B55" s="136"/>
      <c r="C55" s="136" t="s">
        <v>150</v>
      </c>
      <c r="D55" s="136"/>
      <c r="E55" s="136"/>
      <c r="F55" s="35"/>
      <c r="G55" s="35"/>
      <c r="H55" s="35"/>
      <c r="I55" s="136"/>
      <c r="J55" s="136"/>
      <c r="K55" s="136" t="s">
        <v>151</v>
      </c>
      <c r="L55" s="136"/>
      <c r="M55" s="136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4.2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4.2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4.2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4.2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4.2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4.2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4.2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4.2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4.2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4.2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4.2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4.2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4.2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4.2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4.2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4.2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4.2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4.2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4.2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4.2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4.2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4.2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4.2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4.2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4.2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4.2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4.2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4.2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4.2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4.2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4.2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4.2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4.2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4.2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4.2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4.2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4.2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4.2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4.2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4.2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4.2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4.2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4.2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4.2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4.2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4.2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4.2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4.2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4.2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4.2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4.2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4.2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4.2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4.2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4.2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4.2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4.2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4.2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4.2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4.2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4.2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4.2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4.2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4.2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4.2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4.2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4.2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4.2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4.2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4.2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4.2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4.2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4.2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4.2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4.2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4.2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4.2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4.2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4.2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4.2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4.2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4.2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4.2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4.2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4.2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4.2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4.2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4.2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4.2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4.2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4.2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4.2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4.2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4.2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4.2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4.2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4.2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4.2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4.2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4.2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4.2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4.2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4.2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4.2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4.2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4.2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4.2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4.2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4.2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4.2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4.2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4.2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4.2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4.2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4.2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4.2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4.2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4.2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4.2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4.2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4.2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4.2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4.2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4.2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4.2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4.2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4.2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4.2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4.2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4.2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4.2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4.2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4.2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4.2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4.2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4.2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4.2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4.2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4.2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4.2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4.2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4.2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4.2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4.2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4.2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4.2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4.2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4.2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4.2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4.2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4.2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4.2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4.2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4.2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4.2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4.2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4.2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4.2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4.2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4.2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4.2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4.2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4.2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4.2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4.2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4.2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4.2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4.2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4.2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4.2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4.2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4.2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4.2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4.2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4.2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4.2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4.2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4.2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4.2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4.2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4.2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4.2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4.2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4.2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4.2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4.2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4.2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4.2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4.2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4.2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4.2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4.2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4.2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4.2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4.2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4.2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4.2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4.2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4.2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4.2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4.2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4.2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4.2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4.2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4.2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4.2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4.2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4.2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4.2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4.2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4.2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4.2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4.2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4.2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4.2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4.2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4.2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4.2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4.2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4.2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4.2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4.2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4.2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4.2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4.2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4.2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4.2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4.2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4.2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4.2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4.2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4.2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4.2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4.2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4.2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4.2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4.2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4.2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4.2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4.2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4.2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4.2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4.2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4.2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4.2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4.2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4.2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4.2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4.2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4.2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4.2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4.2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4.2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4.2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4.2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4.2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4.2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4.2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4.2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4.2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4.2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4.2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4.2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4.2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4.2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4.2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4.2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4.2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4.2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4.2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4.2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4.2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4.2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4.2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4.2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4.2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4.2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4.2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4.2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4.2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4.2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4.2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4.2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4.2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4.2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4.2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4.2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4.2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4.2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4.2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4.2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4.2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4.2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4.2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4.2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4.2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4.2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4.2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4.2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4.2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4.2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4.2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4.2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4.2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4.2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4.2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4.2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4.2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4.2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4.2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4.2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4.2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4.2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4.2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4.2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4.2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4.2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4.2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4.2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4.2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4.2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4.2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4.2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4.2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4.2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4.2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4.2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4.2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4.2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4.2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4.2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4.2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4.2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4.2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4.2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4.2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4.2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4.2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4.2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4.2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4.2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4.2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4.2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4.2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4.2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4.2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4.2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4.2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4.2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4.2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4.2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4.2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4.2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4.2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4.2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4.2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4.2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4.2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4.2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4.2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4.2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4.2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4.2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4.2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4.2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4.2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4.2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4.2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4.2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4.2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4.2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4.2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4.2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4.2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4.2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4.2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4.2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4.2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4.2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4.2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4.2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4.2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4.2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4.2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4.2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4.2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4.2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4.2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4.2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4.2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4.2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4.2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4.2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4.2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4.2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4.2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4.2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4.2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4.2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4.2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4.2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4.2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4.2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4.2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4.2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4.2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4.2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4.2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4.2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4.2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4.2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4.2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4.2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4.2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4.2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4.2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4.2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4.2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4.2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4.2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4.2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4.2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4.2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4.2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4.2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4.2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4.2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4.2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4.2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4.2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4.2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4.2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4.2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4.2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4.2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4.2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4.2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4.2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4.2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4.2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4.2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4.2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4.2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4.2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4.2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4.2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4.2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4.2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4.2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4.2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4.2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4.2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4.2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4.2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4.2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4.2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4.2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4.2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4.2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4.2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4.2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4.2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4.2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4.2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4.2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4.2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4.2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4.2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4.2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4.2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4.2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4.2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4.2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4.2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4.2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4.2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4.2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4.2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4.2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4.2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4.2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4.2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4.2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4.2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4.2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4.2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4.2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4.2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4.2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4.2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4.2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4.2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4.2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4.2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4.2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4.2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4.2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4.2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4.2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4.2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4.2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4.2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4.2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4.2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4.2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4.2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4.2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4.2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4.2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4.2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4.2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4.2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4.2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4.2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4.2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4.2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4.2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4.2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4.2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4.2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4.2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4.2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4.2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4.2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4.2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4.2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4.2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4.2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4.2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4.2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4.2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4.2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4.2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4.2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4.2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4.2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4.2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4.2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4.2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4.2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4.2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4.2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4.2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4.2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4.2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4.2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4.2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4.2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4.2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4.2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4.2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4.2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4.2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4.2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4.2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4.2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4.2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4.2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4.2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4.2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4.2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4.2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4.2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4.2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4.2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4.2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4.2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4.2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4.2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4.2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4.2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4.2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4.2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4.2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4.2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4.2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4.2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4.2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4.2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4.2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4.2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4.2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4.2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4.2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4.2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4.2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4.2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4.2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4.2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4.2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4.2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4.2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4.2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4.2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4.2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4.2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4.2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4.2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4.2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4.2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4.2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4.2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4.2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4.2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4.2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4.2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4.2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4.2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4.2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4.2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4.2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4.2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4.2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4.2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4.2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4.2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4.2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4.2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4.2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4.2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4.2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4.2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4.2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4.2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4.2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4.2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4.2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4.2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4.2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4.2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4.2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4.2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4.2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4.2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4.2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4.2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4.2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4.2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4.2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4.2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4.2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4.2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4.2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4.2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4.2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4.2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4.2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4.2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4.2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4.2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4.2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4.2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4.2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4.2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4.2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4.2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4.2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4.2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4.2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4.2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4.2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4.2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4.2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4.2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4.2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4.2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4.2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4.2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4.2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4.2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4.2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4.2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4.2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4.2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4.2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4.2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4.2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4.2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4.2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4.2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4.2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4.2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4.2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4.2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4.2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4.2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4.2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4.2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4.2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4.2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4.2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4.2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4.2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4.2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4.2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4.2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4.2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4.2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4.2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4.2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4.2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4.2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4.2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4.2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4.2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4.2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4.2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4.2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4.2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4.2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4.2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4.2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4.2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4.2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4.2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4.2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4.2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4.2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4.2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4.2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4.2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4.2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4.2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4.2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4.2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4.2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4.2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4.2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4.2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4.2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4.2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4.2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4.2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4.2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4.2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4.2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4.2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4.2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4.2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4.2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4.2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4.2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4.2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4.2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4.2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4.2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4.2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4.2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4.2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4.2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4.2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4.2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4.2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4.2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4.2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4.2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4.2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4.2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4.2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4.2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4.2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4.2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4.2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4.2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4.2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4.2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4.2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4.2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4.2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4.2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4.2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4.2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4.2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4.2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4.2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4.2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4.2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4.2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4.2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4.2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4.2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4.2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4.2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4.2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4.2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4.2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4.2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4.2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4.2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4.2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4.2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4.2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4.2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4.2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4.2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4.2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4.2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4.2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4.2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4.2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4.2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4.2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4.2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4.2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4.2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4.2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4.2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4.2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4.2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4.2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4.2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4.2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4.2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4.2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4.2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4.2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4.2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4.2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4.2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4.2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4.2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4.2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4.2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4.2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4.2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4.2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4.2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4.2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4.2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4.2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4.2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4.2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4.2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4.2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4.2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4.2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4.2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4.2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4.2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4.2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4.2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4.2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4.2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4.2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4.2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4.2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4.2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4.2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4.2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4.2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4.2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4.2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4.2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4.2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4.2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4.2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4.2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4.2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4.2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4.2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4.2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4.2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4.2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4.2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4.2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4.2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4.2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4.2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4.2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4.2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4.2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4.2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4.2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4.2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4.2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4.2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4.2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4.2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4.2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4.2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4.2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4.2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4.2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4.2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4.2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4.2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4.2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4.2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4.2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4.2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4.2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4.2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4.2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4.2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4.2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4.2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4.2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4.2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4.2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4.2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4.2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4.2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4.2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4.2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4.2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4.2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4.2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4.2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4.2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4.2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4.2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4.2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4.2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4.2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4.2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4.2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4.2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4.2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4.2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4.2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4.2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4.2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4.2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4.2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4.2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4.2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4.2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4.2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4.2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4.2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4.2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4.2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4.2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4.2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4.2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4.2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4.2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4.2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4.2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4.2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4.2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4.2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4.2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4.2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4.2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74">
    <mergeCell ref="H12:I12"/>
    <mergeCell ref="J12:L12"/>
    <mergeCell ref="J13:L13"/>
    <mergeCell ref="M13:O13"/>
    <mergeCell ref="D12:E12"/>
    <mergeCell ref="F12:G12"/>
    <mergeCell ref="A13:C13"/>
    <mergeCell ref="D13:E13"/>
    <mergeCell ref="F13:G13"/>
    <mergeCell ref="H13:I13"/>
    <mergeCell ref="H14:I14"/>
    <mergeCell ref="A14:C14"/>
    <mergeCell ref="A15:C15"/>
    <mergeCell ref="D15:E15"/>
    <mergeCell ref="F15:G15"/>
    <mergeCell ref="H15:I15"/>
    <mergeCell ref="J15:L15"/>
    <mergeCell ref="M15:O15"/>
    <mergeCell ref="B16:E16"/>
    <mergeCell ref="G16:I16"/>
    <mergeCell ref="J16:L16"/>
    <mergeCell ref="M16:O16"/>
    <mergeCell ref="G17:I17"/>
    <mergeCell ref="J17:L17"/>
    <mergeCell ref="M17:O17"/>
    <mergeCell ref="D51:F51"/>
    <mergeCell ref="H51:I51"/>
    <mergeCell ref="B17:E17"/>
    <mergeCell ref="B18:E18"/>
    <mergeCell ref="G18:I18"/>
    <mergeCell ref="J18:L18"/>
    <mergeCell ref="M18:O18"/>
    <mergeCell ref="A19:O19"/>
    <mergeCell ref="A51:C51"/>
    <mergeCell ref="N51:O51"/>
    <mergeCell ref="F1:I1"/>
    <mergeCell ref="F2:I2"/>
    <mergeCell ref="F3:I3"/>
    <mergeCell ref="F4:I4"/>
    <mergeCell ref="A5:O5"/>
    <mergeCell ref="C6:I6"/>
    <mergeCell ref="K6:O6"/>
    <mergeCell ref="A6:B6"/>
    <mergeCell ref="A7:B7"/>
    <mergeCell ref="C7:I7"/>
    <mergeCell ref="J7:J8"/>
    <mergeCell ref="K7:O8"/>
    <mergeCell ref="A8:B8"/>
    <mergeCell ref="C8:I8"/>
    <mergeCell ref="J10:L10"/>
    <mergeCell ref="M10:O10"/>
    <mergeCell ref="A9:B9"/>
    <mergeCell ref="C9:I9"/>
    <mergeCell ref="K9:O9"/>
    <mergeCell ref="A10:C10"/>
    <mergeCell ref="D10:E10"/>
    <mergeCell ref="F10:G10"/>
    <mergeCell ref="H10:I10"/>
    <mergeCell ref="A11:C11"/>
    <mergeCell ref="D11:E11"/>
    <mergeCell ref="F11:G11"/>
    <mergeCell ref="H11:I11"/>
    <mergeCell ref="J11:L11"/>
    <mergeCell ref="M11:O11"/>
    <mergeCell ref="A12:C12"/>
    <mergeCell ref="M12:O12"/>
    <mergeCell ref="D14:E14"/>
    <mergeCell ref="F14:G14"/>
    <mergeCell ref="J14:L14"/>
    <mergeCell ref="M14:O14"/>
    <mergeCell ref="J51:K51"/>
    <mergeCell ref="L51:M51"/>
    <mergeCell ref="A52:L52"/>
    <mergeCell ref="M52:O52"/>
  </mergeCells>
  <printOptions/>
  <pageMargins bottom="0.75" footer="0.0" header="0.0" left="0.7" right="0.7" top="0.75"/>
  <pageSetup orientation="portrait"/>
  <drawing r:id="rId1"/>
</worksheet>
</file>